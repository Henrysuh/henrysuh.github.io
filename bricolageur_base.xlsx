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ysuh\GitHub\henrysuh.github.io\"/>
    </mc:Choice>
  </mc:AlternateContent>
  <xr:revisionPtr revIDLastSave="0" documentId="13_ncr:1_{29C73EC9-3080-48F7-ADD4-CF3D0C46E961}" xr6:coauthVersionLast="47" xr6:coauthVersionMax="47" xr10:uidLastSave="{00000000-0000-0000-0000-000000000000}"/>
  <bookViews>
    <workbookView xWindow="-120" yWindow="-120" windowWidth="29040" windowHeight="15720" activeTab="4" xr2:uid="{95EA4501-7736-4252-A8B2-F17A2C50114C}"/>
  </bookViews>
  <sheets>
    <sheet name="개념" sheetId="1" r:id="rId1"/>
    <sheet name="지출차이" sheetId="2" r:id="rId2"/>
    <sheet name="자산차이" sheetId="3" r:id="rId3"/>
    <sheet name="매핑초안" sheetId="6" r:id="rId4"/>
    <sheet name="매핑v2" sheetId="7" r:id="rId5"/>
    <sheet name="비용분석" sheetId="13" r:id="rId6"/>
    <sheet name="webtoon" sheetId="15" r:id="rId7"/>
    <sheet name="비용분석2" sheetId="16" r:id="rId8"/>
    <sheet name="Sheet2" sheetId="18" r:id="rId9"/>
    <sheet name="Persona" sheetId="17" r:id="rId10"/>
  </sheets>
  <definedNames>
    <definedName name="_xlnm._FilterDatabase" localSheetId="8" hidden="1">Sheet2!$A$1:$R$83</definedName>
    <definedName name="_xlnm._FilterDatabase" localSheetId="5" hidden="1">비용분석!$B$1:$BL$84</definedName>
    <definedName name="_xlnm._FilterDatabase" localSheetId="7" hidden="1">비용분석2!$A$1:$BT$84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83" i="13" l="1"/>
  <c r="BH83" i="13"/>
  <c r="BG83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BI82" i="13"/>
  <c r="BH82" i="13"/>
  <c r="BG82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BI81" i="13"/>
  <c r="BH81" i="13"/>
  <c r="BG81" i="13"/>
  <c r="BF81" i="13"/>
  <c r="BE81" i="13"/>
  <c r="BD81" i="13"/>
  <c r="BC81" i="13"/>
  <c r="BB81" i="13"/>
  <c r="BA81" i="13"/>
  <c r="AZ81" i="13"/>
  <c r="AY81" i="13"/>
  <c r="AX81" i="13"/>
  <c r="AW81" i="13"/>
  <c r="AV81" i="13"/>
  <c r="AU81" i="13"/>
  <c r="AT81" i="13"/>
  <c r="AS81" i="13"/>
  <c r="AR81" i="13"/>
  <c r="AQ81" i="13"/>
  <c r="AP81" i="13"/>
  <c r="AO81" i="13"/>
  <c r="AN81" i="13"/>
  <c r="AM81" i="13"/>
  <c r="AL81" i="13"/>
  <c r="AK81" i="13"/>
  <c r="AJ81" i="13"/>
  <c r="AI81" i="13"/>
  <c r="BI80" i="13"/>
  <c r="BH80" i="13"/>
  <c r="BG80" i="13"/>
  <c r="BF80" i="13"/>
  <c r="BE80" i="13"/>
  <c r="BD80" i="13"/>
  <c r="BC80" i="13"/>
  <c r="BB80" i="13"/>
  <c r="BA80" i="13"/>
  <c r="AZ80" i="13"/>
  <c r="AY80" i="13"/>
  <c r="AX80" i="13"/>
  <c r="AW80" i="13"/>
  <c r="AV80" i="13"/>
  <c r="AU80" i="13"/>
  <c r="AT80" i="13"/>
  <c r="AS80" i="13"/>
  <c r="AR80" i="13"/>
  <c r="AQ80" i="13"/>
  <c r="AP80" i="13"/>
  <c r="AO80" i="13"/>
  <c r="AN80" i="13"/>
  <c r="AM80" i="13"/>
  <c r="AL80" i="13"/>
  <c r="AK80" i="13"/>
  <c r="AJ80" i="13"/>
  <c r="AI80" i="13"/>
  <c r="BI79" i="13"/>
  <c r="BH79" i="13"/>
  <c r="BG79" i="13"/>
  <c r="BF79" i="13"/>
  <c r="BE79" i="13"/>
  <c r="BD79" i="13"/>
  <c r="BC79" i="13"/>
  <c r="BB79" i="13"/>
  <c r="BA79" i="13"/>
  <c r="AZ79" i="13"/>
  <c r="AY79" i="13"/>
  <c r="AX79" i="13"/>
  <c r="AW79" i="13"/>
  <c r="AV79" i="13"/>
  <c r="AU79" i="13"/>
  <c r="AT79" i="13"/>
  <c r="AS79" i="13"/>
  <c r="AR79" i="13"/>
  <c r="AQ79" i="13"/>
  <c r="AP79" i="13"/>
  <c r="AO79" i="13"/>
  <c r="AN79" i="13"/>
  <c r="AM79" i="13"/>
  <c r="AL79" i="13"/>
  <c r="AK79" i="13"/>
  <c r="AJ79" i="13"/>
  <c r="AI79" i="13"/>
  <c r="BI78" i="13"/>
  <c r="BH78" i="13"/>
  <c r="BG78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BI77" i="13"/>
  <c r="BH77" i="13"/>
  <c r="BG77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BI76" i="13"/>
  <c r="BH76" i="13"/>
  <c r="BG76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BI75" i="13"/>
  <c r="BH75" i="13"/>
  <c r="BG75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BI73" i="13"/>
  <c r="BH73" i="13"/>
  <c r="BG73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BI72" i="13"/>
  <c r="BH72" i="13"/>
  <c r="BG72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BI71" i="13"/>
  <c r="BH71" i="13"/>
  <c r="BG71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BI70" i="13"/>
  <c r="BH70" i="13"/>
  <c r="BG70" i="13"/>
  <c r="BF70" i="13"/>
  <c r="BE70" i="13"/>
  <c r="BD70" i="13"/>
  <c r="BC70" i="13"/>
  <c r="BB70" i="13"/>
  <c r="BA70" i="13"/>
  <c r="AZ70" i="13"/>
  <c r="AY70" i="13"/>
  <c r="AX70" i="13"/>
  <c r="AW70" i="13"/>
  <c r="AV70" i="13"/>
  <c r="AU70" i="13"/>
  <c r="AT70" i="13"/>
  <c r="AS70" i="13"/>
  <c r="AR70" i="13"/>
  <c r="AQ70" i="13"/>
  <c r="AP70" i="13"/>
  <c r="AO70" i="13"/>
  <c r="AN70" i="13"/>
  <c r="AM70" i="13"/>
  <c r="AL70" i="13"/>
  <c r="AK70" i="13"/>
  <c r="AJ70" i="13"/>
  <c r="AI70" i="13"/>
  <c r="BI69" i="13"/>
  <c r="BH69" i="13"/>
  <c r="BG69" i="13"/>
  <c r="BF69" i="13"/>
  <c r="BE69" i="13"/>
  <c r="BD69" i="13"/>
  <c r="BC69" i="13"/>
  <c r="BB69" i="13"/>
  <c r="BA69" i="13"/>
  <c r="AZ69" i="13"/>
  <c r="AY69" i="13"/>
  <c r="AX69" i="13"/>
  <c r="AW69" i="13"/>
  <c r="AV69" i="13"/>
  <c r="AU69" i="13"/>
  <c r="AT69" i="13"/>
  <c r="AS69" i="13"/>
  <c r="AR69" i="13"/>
  <c r="AQ69" i="13"/>
  <c r="AP69" i="13"/>
  <c r="AO69" i="13"/>
  <c r="AN69" i="13"/>
  <c r="AM69" i="13"/>
  <c r="AL69" i="13"/>
  <c r="AK69" i="13"/>
  <c r="AJ69" i="13"/>
  <c r="AI69" i="13"/>
  <c r="BI68" i="13"/>
  <c r="BH68" i="13"/>
  <c r="BG68" i="13"/>
  <c r="BF68" i="13"/>
  <c r="BE68" i="13"/>
  <c r="BD68" i="13"/>
  <c r="BC68" i="13"/>
  <c r="BB68" i="13"/>
  <c r="BA68" i="13"/>
  <c r="AZ68" i="13"/>
  <c r="AY68" i="13"/>
  <c r="AX68" i="13"/>
  <c r="AW68" i="13"/>
  <c r="AV68" i="13"/>
  <c r="AU68" i="13"/>
  <c r="AT68" i="13"/>
  <c r="AS68" i="13"/>
  <c r="AR68" i="13"/>
  <c r="AQ68" i="13"/>
  <c r="AP68" i="13"/>
  <c r="AO68" i="13"/>
  <c r="AN68" i="13"/>
  <c r="AM68" i="13"/>
  <c r="AL68" i="13"/>
  <c r="AK68" i="13"/>
  <c r="AJ68" i="13"/>
  <c r="AI68" i="13"/>
  <c r="AI67" i="13"/>
  <c r="BI66" i="13"/>
  <c r="BH66" i="13"/>
  <c r="BG66" i="13"/>
  <c r="BF66" i="13"/>
  <c r="BE66" i="13"/>
  <c r="BD66" i="13"/>
  <c r="BC66" i="13"/>
  <c r="BB66" i="13"/>
  <c r="BA66" i="13"/>
  <c r="AZ66" i="13"/>
  <c r="AY66" i="13"/>
  <c r="AX66" i="13"/>
  <c r="AW66" i="13"/>
  <c r="AV66" i="13"/>
  <c r="AU66" i="13"/>
  <c r="AT66" i="13"/>
  <c r="AS66" i="13"/>
  <c r="AR66" i="13"/>
  <c r="AQ66" i="13"/>
  <c r="AP66" i="13"/>
  <c r="AO66" i="13"/>
  <c r="AN66" i="13"/>
  <c r="AM66" i="13"/>
  <c r="AL66" i="13"/>
  <c r="AK66" i="13"/>
  <c r="AJ66" i="13"/>
  <c r="AI66" i="13"/>
  <c r="BI65" i="13"/>
  <c r="BH65" i="13"/>
  <c r="BG65" i="13"/>
  <c r="BF65" i="13"/>
  <c r="BE65" i="13"/>
  <c r="BD65" i="13"/>
  <c r="BC65" i="13"/>
  <c r="BB65" i="13"/>
  <c r="BA65" i="13"/>
  <c r="AZ65" i="13"/>
  <c r="AY65" i="13"/>
  <c r="AX65" i="13"/>
  <c r="AW65" i="13"/>
  <c r="AV65" i="13"/>
  <c r="AU65" i="13"/>
  <c r="AT65" i="13"/>
  <c r="AS65" i="13"/>
  <c r="AR65" i="13"/>
  <c r="AQ65" i="13"/>
  <c r="AP65" i="13"/>
  <c r="AO65" i="13"/>
  <c r="AN65" i="13"/>
  <c r="AM65" i="13"/>
  <c r="AL65" i="13"/>
  <c r="AK65" i="13"/>
  <c r="AJ65" i="13"/>
  <c r="AI65" i="13"/>
  <c r="BI64" i="13"/>
  <c r="BH64" i="13"/>
  <c r="BG64" i="13"/>
  <c r="BF64" i="13"/>
  <c r="BE64" i="13"/>
  <c r="BD64" i="13"/>
  <c r="BC64" i="13"/>
  <c r="BB64" i="13"/>
  <c r="BA64" i="13"/>
  <c r="AZ64" i="13"/>
  <c r="AY64" i="13"/>
  <c r="AX64" i="13"/>
  <c r="AW64" i="13"/>
  <c r="AV64" i="13"/>
  <c r="AU64" i="13"/>
  <c r="AT64" i="13"/>
  <c r="AS64" i="13"/>
  <c r="AR64" i="13"/>
  <c r="AQ64" i="13"/>
  <c r="AP64" i="13"/>
  <c r="AO64" i="13"/>
  <c r="AN64" i="13"/>
  <c r="AM64" i="13"/>
  <c r="AL64" i="13"/>
  <c r="AK64" i="13"/>
  <c r="AJ64" i="13"/>
  <c r="AI64" i="13"/>
  <c r="BI63" i="13"/>
  <c r="BH63" i="13"/>
  <c r="BG63" i="13"/>
  <c r="BF63" i="13"/>
  <c r="BE63" i="13"/>
  <c r="BD63" i="13"/>
  <c r="BC63" i="13"/>
  <c r="BB63" i="13"/>
  <c r="BA63" i="13"/>
  <c r="AZ63" i="13"/>
  <c r="AY63" i="13"/>
  <c r="AX63" i="13"/>
  <c r="AW63" i="13"/>
  <c r="AV63" i="13"/>
  <c r="AU63" i="13"/>
  <c r="AT63" i="13"/>
  <c r="AS63" i="13"/>
  <c r="AR63" i="13"/>
  <c r="AQ63" i="13"/>
  <c r="AP63" i="13"/>
  <c r="AO63" i="13"/>
  <c r="AN63" i="13"/>
  <c r="AM63" i="13"/>
  <c r="AL63" i="13"/>
  <c r="AK63" i="13"/>
  <c r="AJ63" i="13"/>
  <c r="AI63" i="13"/>
  <c r="BI62" i="13"/>
  <c r="BH62" i="13"/>
  <c r="BG62" i="13"/>
  <c r="BF62" i="13"/>
  <c r="BE62" i="13"/>
  <c r="BD62" i="13"/>
  <c r="BC62" i="13"/>
  <c r="BB62" i="13"/>
  <c r="BA62" i="13"/>
  <c r="AZ62" i="13"/>
  <c r="AY62" i="13"/>
  <c r="AX62" i="13"/>
  <c r="AW62" i="13"/>
  <c r="AV62" i="13"/>
  <c r="AU62" i="13"/>
  <c r="AT62" i="13"/>
  <c r="AS62" i="13"/>
  <c r="AR62" i="13"/>
  <c r="AQ62" i="13"/>
  <c r="AP62" i="13"/>
  <c r="AO62" i="13"/>
  <c r="AN62" i="13"/>
  <c r="AM62" i="13"/>
  <c r="AL62" i="13"/>
  <c r="AK62" i="13"/>
  <c r="AJ62" i="13"/>
  <c r="AI62" i="13"/>
  <c r="BI61" i="13"/>
  <c r="BH61" i="13"/>
  <c r="BG61" i="13"/>
  <c r="BF61" i="13"/>
  <c r="BE61" i="13"/>
  <c r="BD61" i="13"/>
  <c r="BC61" i="13"/>
  <c r="BB61" i="13"/>
  <c r="BA61" i="13"/>
  <c r="AZ61" i="13"/>
  <c r="AY61" i="13"/>
  <c r="AX61" i="13"/>
  <c r="AW61" i="13"/>
  <c r="AV61" i="13"/>
  <c r="AU61" i="13"/>
  <c r="AT61" i="13"/>
  <c r="AS61" i="13"/>
  <c r="AR61" i="13"/>
  <c r="AQ61" i="13"/>
  <c r="AP61" i="13"/>
  <c r="AO61" i="13"/>
  <c r="AN61" i="13"/>
  <c r="AM61" i="13"/>
  <c r="AL61" i="13"/>
  <c r="AK61" i="13"/>
  <c r="AJ61" i="13"/>
  <c r="AI61" i="13"/>
  <c r="BI60" i="13"/>
  <c r="BH60" i="13"/>
  <c r="BG60" i="13"/>
  <c r="BF60" i="13"/>
  <c r="BE60" i="13"/>
  <c r="BD60" i="13"/>
  <c r="BC60" i="13"/>
  <c r="BB60" i="13"/>
  <c r="BA60" i="13"/>
  <c r="AZ60" i="13"/>
  <c r="AY60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BI59" i="13"/>
  <c r="BH59" i="13"/>
  <c r="BG59" i="13"/>
  <c r="BF59" i="13"/>
  <c r="BE59" i="13"/>
  <c r="BD59" i="13"/>
  <c r="BC59" i="13"/>
  <c r="BB59" i="13"/>
  <c r="BA59" i="13"/>
  <c r="AZ59" i="13"/>
  <c r="AY59" i="13"/>
  <c r="AX59" i="13"/>
  <c r="AW59" i="13"/>
  <c r="AV59" i="13"/>
  <c r="AU59" i="13"/>
  <c r="AT59" i="13"/>
  <c r="AS59" i="13"/>
  <c r="AR59" i="13"/>
  <c r="AQ59" i="13"/>
  <c r="AP59" i="13"/>
  <c r="AO59" i="13"/>
  <c r="AN59" i="13"/>
  <c r="AM59" i="13"/>
  <c r="AL59" i="13"/>
  <c r="AK59" i="13"/>
  <c r="AJ59" i="13"/>
  <c r="AI59" i="13"/>
  <c r="BI58" i="13"/>
  <c r="BH58" i="13"/>
  <c r="BG58" i="13"/>
  <c r="BF58" i="13"/>
  <c r="BE58" i="13"/>
  <c r="BD58" i="13"/>
  <c r="BC58" i="13"/>
  <c r="BB58" i="13"/>
  <c r="BA58" i="13"/>
  <c r="AZ58" i="13"/>
  <c r="AY58" i="13"/>
  <c r="AX58" i="13"/>
  <c r="AW58" i="13"/>
  <c r="AV58" i="13"/>
  <c r="AU58" i="13"/>
  <c r="AT58" i="13"/>
  <c r="AS58" i="13"/>
  <c r="AR58" i="13"/>
  <c r="AQ58" i="13"/>
  <c r="AP58" i="13"/>
  <c r="AO58" i="13"/>
  <c r="AN58" i="13"/>
  <c r="AM58" i="13"/>
  <c r="AL58" i="13"/>
  <c r="AK58" i="13"/>
  <c r="AJ58" i="13"/>
  <c r="AI58" i="13"/>
  <c r="BI57" i="13"/>
  <c r="BH57" i="13"/>
  <c r="BG57" i="13"/>
  <c r="BF57" i="13"/>
  <c r="BE57" i="13"/>
  <c r="BD57" i="13"/>
  <c r="BC57" i="13"/>
  <c r="BB57" i="13"/>
  <c r="BA57" i="13"/>
  <c r="AZ57" i="13"/>
  <c r="AY57" i="13"/>
  <c r="AX57" i="13"/>
  <c r="AW57" i="13"/>
  <c r="AV57" i="13"/>
  <c r="AU57" i="13"/>
  <c r="AT57" i="13"/>
  <c r="AS57" i="13"/>
  <c r="AR57" i="13"/>
  <c r="AQ57" i="13"/>
  <c r="AP57" i="13"/>
  <c r="AO57" i="13"/>
  <c r="AN57" i="13"/>
  <c r="AM57" i="13"/>
  <c r="AL57" i="13"/>
  <c r="AK57" i="13"/>
  <c r="AJ57" i="13"/>
  <c r="AI57" i="13"/>
  <c r="BI56" i="13"/>
  <c r="BH56" i="13"/>
  <c r="BG56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BI55" i="13"/>
  <c r="BH55" i="13"/>
  <c r="BG55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BI54" i="13"/>
  <c r="BH54" i="13"/>
  <c r="BG54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BI53" i="13"/>
  <c r="BH53" i="13"/>
  <c r="BG53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BI52" i="13"/>
  <c r="BH52" i="13"/>
  <c r="BG52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BI51" i="13"/>
  <c r="BH51" i="13"/>
  <c r="BG51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BI50" i="13"/>
  <c r="BH50" i="13"/>
  <c r="BG50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BI49" i="13"/>
  <c r="BH49" i="13"/>
  <c r="BG49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BI48" i="13"/>
  <c r="BH48" i="13"/>
  <c r="BG48" i="13"/>
  <c r="BF48" i="13"/>
  <c r="BE48" i="13"/>
  <c r="BD48" i="13"/>
  <c r="BC48" i="13"/>
  <c r="BB48" i="13"/>
  <c r="BA48" i="13"/>
  <c r="AZ48" i="13"/>
  <c r="AY48" i="13"/>
  <c r="AX48" i="13"/>
  <c r="AW48" i="13"/>
  <c r="AV48" i="13"/>
  <c r="AU48" i="13"/>
  <c r="AT48" i="13"/>
  <c r="AS48" i="13"/>
  <c r="AR48" i="13"/>
  <c r="AQ48" i="13"/>
  <c r="AP48" i="13"/>
  <c r="AO48" i="13"/>
  <c r="AN48" i="13"/>
  <c r="AM48" i="13"/>
  <c r="AL48" i="13"/>
  <c r="AK48" i="13"/>
  <c r="AJ48" i="13"/>
  <c r="AI48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BI46" i="13"/>
  <c r="BH46" i="13"/>
  <c r="BG46" i="13"/>
  <c r="BF46" i="13"/>
  <c r="BE46" i="13"/>
  <c r="BD46" i="13"/>
  <c r="BC46" i="13"/>
  <c r="BB46" i="13"/>
  <c r="BA46" i="13"/>
  <c r="AZ46" i="13"/>
  <c r="AY46" i="13"/>
  <c r="AX46" i="13"/>
  <c r="AW46" i="13"/>
  <c r="AV46" i="13"/>
  <c r="AU46" i="13"/>
  <c r="AT46" i="13"/>
  <c r="AS46" i="13"/>
  <c r="AR46" i="13"/>
  <c r="AQ46" i="13"/>
  <c r="AP46" i="13"/>
  <c r="AO46" i="13"/>
  <c r="AN46" i="13"/>
  <c r="AM46" i="13"/>
  <c r="AL46" i="13"/>
  <c r="AK46" i="13"/>
  <c r="AJ46" i="13"/>
  <c r="AI46" i="13"/>
  <c r="BI45" i="13"/>
  <c r="BH45" i="13"/>
  <c r="BG45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BI44" i="13"/>
  <c r="BH44" i="13"/>
  <c r="BG44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BI43" i="13"/>
  <c r="BH43" i="13"/>
  <c r="BG43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BI42" i="13"/>
  <c r="BH42" i="13"/>
  <c r="BG42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BI41" i="13"/>
  <c r="BH41" i="13"/>
  <c r="BG41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BI40" i="13"/>
  <c r="BH40" i="13"/>
  <c r="BG40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BI39" i="13"/>
  <c r="BH39" i="13"/>
  <c r="BG39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BI38" i="13"/>
  <c r="BH38" i="13"/>
  <c r="BG38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BI37" i="13"/>
  <c r="BH37" i="13"/>
  <c r="BG37" i="13"/>
  <c r="BF37" i="13"/>
  <c r="BE37" i="13"/>
  <c r="BD37" i="13"/>
  <c r="BC37" i="13"/>
  <c r="BB37" i="13"/>
  <c r="BA37" i="13"/>
  <c r="AZ37" i="13"/>
  <c r="AY37" i="13"/>
  <c r="AX37" i="13"/>
  <c r="AW37" i="13"/>
  <c r="AV37" i="13"/>
  <c r="AU37" i="13"/>
  <c r="AT37" i="13"/>
  <c r="AS37" i="13"/>
  <c r="AR37" i="13"/>
  <c r="AQ37" i="13"/>
  <c r="AP37" i="13"/>
  <c r="AO37" i="13"/>
  <c r="AN37" i="13"/>
  <c r="AM37" i="13"/>
  <c r="AL37" i="13"/>
  <c r="AK37" i="13"/>
  <c r="AJ37" i="13"/>
  <c r="AI37" i="13"/>
  <c r="BI36" i="13"/>
  <c r="BH36" i="13"/>
  <c r="BG36" i="13"/>
  <c r="BF36" i="13"/>
  <c r="BE36" i="13"/>
  <c r="BD36" i="13"/>
  <c r="BC36" i="13"/>
  <c r="BB36" i="13"/>
  <c r="BA36" i="13"/>
  <c r="AZ36" i="13"/>
  <c r="AY36" i="13"/>
  <c r="AX36" i="13"/>
  <c r="AW36" i="13"/>
  <c r="AV36" i="13"/>
  <c r="AU36" i="13"/>
  <c r="AT36" i="13"/>
  <c r="AS36" i="13"/>
  <c r="AR36" i="13"/>
  <c r="AQ36" i="13"/>
  <c r="AP36" i="13"/>
  <c r="AO36" i="13"/>
  <c r="AN36" i="13"/>
  <c r="AM36" i="13"/>
  <c r="AL36" i="13"/>
  <c r="AK36" i="13"/>
  <c r="AJ36" i="13"/>
  <c r="AI36" i="13"/>
  <c r="BI35" i="13"/>
  <c r="BH35" i="13"/>
  <c r="BG35" i="13"/>
  <c r="BF35" i="13"/>
  <c r="BE35" i="13"/>
  <c r="BD35" i="13"/>
  <c r="BC35" i="13"/>
  <c r="BB35" i="13"/>
  <c r="BA35" i="13"/>
  <c r="AZ35" i="13"/>
  <c r="AY35" i="13"/>
  <c r="AX35" i="13"/>
  <c r="AW35" i="13"/>
  <c r="AV35" i="13"/>
  <c r="AU35" i="13"/>
  <c r="AT35" i="13"/>
  <c r="AS35" i="13"/>
  <c r="AR35" i="13"/>
  <c r="AQ35" i="13"/>
  <c r="AP35" i="13"/>
  <c r="AO35" i="13"/>
  <c r="AN35" i="13"/>
  <c r="AM35" i="13"/>
  <c r="AL35" i="13"/>
  <c r="AK35" i="13"/>
  <c r="AJ35" i="13"/>
  <c r="AI35" i="13"/>
  <c r="BI34" i="13"/>
  <c r="BH34" i="13"/>
  <c r="BG34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BI33" i="13"/>
  <c r="BH33" i="13"/>
  <c r="BG33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BI32" i="13"/>
  <c r="BH32" i="13"/>
  <c r="BG32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BI31" i="13"/>
  <c r="BH31" i="13"/>
  <c r="BG31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BI30" i="13"/>
  <c r="BH30" i="13"/>
  <c r="BG30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BI29" i="13"/>
  <c r="BH29" i="13"/>
  <c r="BG29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BI28" i="13"/>
  <c r="BH28" i="13"/>
  <c r="BG28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BI27" i="13"/>
  <c r="BH27" i="13"/>
  <c r="BG27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BI26" i="13"/>
  <c r="BH26" i="13"/>
  <c r="BG26" i="13"/>
  <c r="BF26" i="13"/>
  <c r="BE26" i="13"/>
  <c r="BD26" i="13"/>
  <c r="BC26" i="13"/>
  <c r="BB26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BI25" i="13"/>
  <c r="BH25" i="13"/>
  <c r="BG25" i="13"/>
  <c r="BF25" i="13"/>
  <c r="BE25" i="13"/>
  <c r="BD25" i="13"/>
  <c r="BC25" i="13"/>
  <c r="BB25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BI24" i="13"/>
  <c r="BH24" i="13"/>
  <c r="BG24" i="13"/>
  <c r="BF24" i="13"/>
  <c r="BE24" i="13"/>
  <c r="BD24" i="13"/>
  <c r="BC24" i="13"/>
  <c r="BB24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BI23" i="13"/>
  <c r="BH23" i="13"/>
  <c r="BG23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BI22" i="13"/>
  <c r="BH22" i="13"/>
  <c r="BG22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BI21" i="13"/>
  <c r="BH21" i="13"/>
  <c r="BG21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BI19" i="13"/>
  <c r="BH19" i="13"/>
  <c r="BG19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BI18" i="13"/>
  <c r="BH18" i="13"/>
  <c r="BG18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BI17" i="13"/>
  <c r="BH17" i="13"/>
  <c r="BG17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S17" i="13"/>
  <c r="AQ17" i="13"/>
  <c r="AO17" i="13"/>
  <c r="AN17" i="13"/>
  <c r="AM17" i="13"/>
  <c r="AL17" i="13"/>
  <c r="AK17" i="13"/>
  <c r="AJ17" i="13"/>
  <c r="AI17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BI15" i="13"/>
  <c r="BH15" i="13"/>
  <c r="BG15" i="13"/>
  <c r="BF15" i="13"/>
  <c r="BE15" i="13"/>
  <c r="BD15" i="13"/>
  <c r="BC15" i="13"/>
  <c r="BB15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BI14" i="13"/>
  <c r="BH14" i="13"/>
  <c r="BG14" i="13"/>
  <c r="BF14" i="13"/>
  <c r="BE14" i="13"/>
  <c r="BD14" i="13"/>
  <c r="BC14" i="13"/>
  <c r="BB14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AI14" i="13"/>
  <c r="BI13" i="13"/>
  <c r="BH13" i="13"/>
  <c r="BG13" i="13"/>
  <c r="BF13" i="13"/>
  <c r="BE13" i="13"/>
  <c r="BD13" i="13"/>
  <c r="BC13" i="13"/>
  <c r="BB13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BI11" i="13"/>
  <c r="BH11" i="13"/>
  <c r="BG11" i="13"/>
  <c r="BF11" i="13"/>
  <c r="BE11" i="13"/>
  <c r="BD11" i="13"/>
  <c r="BC11" i="13"/>
  <c r="BB11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BI10" i="13"/>
  <c r="BH10" i="13"/>
  <c r="BG10" i="13"/>
  <c r="BF10" i="13"/>
  <c r="BE10" i="13"/>
  <c r="BD10" i="13"/>
  <c r="BC10" i="13"/>
  <c r="BB10" i="13"/>
  <c r="BA10" i="13"/>
  <c r="AZ10" i="13"/>
  <c r="AY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BI9" i="13"/>
  <c r="BH9" i="13"/>
  <c r="BG9" i="13"/>
  <c r="BF9" i="13"/>
  <c r="BE9" i="13"/>
  <c r="BD9" i="13"/>
  <c r="BC9" i="13"/>
  <c r="BB9" i="13"/>
  <c r="BA9" i="13"/>
  <c r="AZ9" i="13"/>
  <c r="AY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AI9" i="13"/>
  <c r="BI8" i="13"/>
  <c r="BH8" i="13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AI8" i="13"/>
  <c r="BI7" i="13"/>
  <c r="BH7" i="13"/>
  <c r="BG7" i="13"/>
  <c r="BF7" i="13"/>
  <c r="BE7" i="13"/>
  <c r="BD7" i="13"/>
  <c r="BC7" i="13"/>
  <c r="BB7" i="13"/>
  <c r="BA7" i="13"/>
  <c r="AZ7" i="13"/>
  <c r="AY7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AL7" i="13"/>
  <c r="AK7" i="13"/>
  <c r="AJ7" i="13"/>
  <c r="AI7" i="13"/>
  <c r="BI6" i="13"/>
  <c r="BH6" i="13"/>
  <c r="BG6" i="13"/>
  <c r="BF6" i="13"/>
  <c r="BE6" i="13"/>
  <c r="BD6" i="13"/>
  <c r="BC6" i="13"/>
  <c r="BB6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BI5" i="13"/>
  <c r="BH5" i="13"/>
  <c r="BG5" i="13"/>
  <c r="BF5" i="13"/>
  <c r="BE5" i="13"/>
  <c r="BD5" i="13"/>
  <c r="BC5" i="13"/>
  <c r="BB5" i="13"/>
  <c r="BA5" i="13"/>
  <c r="AZ5" i="13"/>
  <c r="AY5" i="13"/>
  <c r="AX5" i="13"/>
  <c r="AW5" i="13"/>
  <c r="AV5" i="13"/>
  <c r="AU5" i="13"/>
  <c r="AT5" i="13"/>
  <c r="AS5" i="13"/>
  <c r="AR5" i="13"/>
  <c r="AQ5" i="13"/>
  <c r="AP5" i="13"/>
  <c r="AO5" i="13"/>
  <c r="AN5" i="13"/>
  <c r="AM5" i="13"/>
  <c r="AL5" i="13"/>
  <c r="AK5" i="13"/>
  <c r="AJ5" i="13"/>
  <c r="AI5" i="13"/>
  <c r="BI4" i="13"/>
  <c r="BH4" i="13"/>
  <c r="BG4" i="13"/>
  <c r="BF4" i="13"/>
  <c r="BE4" i="13"/>
  <c r="BD4" i="13"/>
  <c r="BC4" i="13"/>
  <c r="BB4" i="13"/>
  <c r="BA4" i="13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BI3" i="13"/>
  <c r="BH3" i="13"/>
  <c r="BG3" i="13"/>
  <c r="BF3" i="13"/>
  <c r="BE3" i="13"/>
  <c r="BD3" i="13"/>
  <c r="BC3" i="13"/>
  <c r="BB3" i="13"/>
  <c r="BA3" i="13"/>
  <c r="AZ3" i="13"/>
  <c r="AY3" i="13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BI2" i="13"/>
  <c r="BH2" i="13"/>
  <c r="BG2" i="13"/>
  <c r="BF2" i="13"/>
  <c r="BE2" i="13"/>
  <c r="BD2" i="13"/>
  <c r="BC2" i="13"/>
  <c r="BB2" i="13"/>
  <c r="BA2" i="13"/>
  <c r="AZ2" i="13"/>
  <c r="AY2" i="13"/>
  <c r="AX2" i="13"/>
  <c r="AW2" i="13"/>
  <c r="AV2" i="13"/>
  <c r="AU2" i="13"/>
  <c r="AT2" i="13"/>
  <c r="AS2" i="13"/>
  <c r="AR2" i="13"/>
  <c r="AQ2" i="13"/>
  <c r="AP2" i="13"/>
  <c r="AO2" i="13"/>
  <c r="AN2" i="13"/>
  <c r="AM2" i="13"/>
  <c r="AL2" i="13"/>
  <c r="AK2" i="13"/>
  <c r="AJ2" i="13"/>
  <c r="AI2" i="13"/>
  <c r="BH83" i="16"/>
  <c r="BF83" i="16"/>
  <c r="BD83" i="16"/>
  <c r="BB83" i="16"/>
  <c r="AZ83" i="16"/>
  <c r="AX83" i="16"/>
  <c r="AV83" i="16"/>
  <c r="AT83" i="16"/>
  <c r="AR83" i="16"/>
  <c r="AP83" i="16"/>
  <c r="AN83" i="16"/>
  <c r="AL83" i="16"/>
  <c r="AJ83" i="16"/>
  <c r="BH82" i="16"/>
  <c r="BF82" i="16"/>
  <c r="BD82" i="16"/>
  <c r="BB82" i="16"/>
  <c r="AZ82" i="16"/>
  <c r="AX82" i="16"/>
  <c r="AV82" i="16"/>
  <c r="AT82" i="16"/>
  <c r="AR82" i="16"/>
  <c r="AP82" i="16"/>
  <c r="AN82" i="16"/>
  <c r="AL82" i="16"/>
  <c r="AJ82" i="16"/>
  <c r="BH81" i="16"/>
  <c r="BF81" i="16"/>
  <c r="BD81" i="16"/>
  <c r="BB81" i="16"/>
  <c r="AZ81" i="16"/>
  <c r="AX81" i="16"/>
  <c r="AV81" i="16"/>
  <c r="AT81" i="16"/>
  <c r="AR81" i="16"/>
  <c r="AP81" i="16"/>
  <c r="AN81" i="16"/>
  <c r="AL81" i="16"/>
  <c r="AJ81" i="16"/>
  <c r="BH80" i="16"/>
  <c r="BF80" i="16"/>
  <c r="BD80" i="16"/>
  <c r="BB80" i="16"/>
  <c r="AZ80" i="16"/>
  <c r="AX80" i="16"/>
  <c r="AV80" i="16"/>
  <c r="AT80" i="16"/>
  <c r="AR80" i="16"/>
  <c r="AP80" i="16"/>
  <c r="AN80" i="16"/>
  <c r="AL80" i="16"/>
  <c r="AJ80" i="16"/>
  <c r="BH79" i="16"/>
  <c r="BF79" i="16"/>
  <c r="BD79" i="16"/>
  <c r="BB79" i="16"/>
  <c r="AZ79" i="16"/>
  <c r="AX79" i="16"/>
  <c r="AV79" i="16"/>
  <c r="AT79" i="16"/>
  <c r="AR79" i="16"/>
  <c r="AP79" i="16"/>
  <c r="AN79" i="16"/>
  <c r="AL79" i="16"/>
  <c r="AJ79" i="16"/>
  <c r="BH78" i="16"/>
  <c r="BF78" i="16"/>
  <c r="BD78" i="16"/>
  <c r="BB78" i="16"/>
  <c r="AZ78" i="16"/>
  <c r="AX78" i="16"/>
  <c r="AV78" i="16"/>
  <c r="AT78" i="16"/>
  <c r="AR78" i="16"/>
  <c r="AP78" i="16"/>
  <c r="AN78" i="16"/>
  <c r="AL78" i="16"/>
  <c r="AJ78" i="16"/>
  <c r="BH77" i="16"/>
  <c r="BI77" i="16" s="1"/>
  <c r="BF77" i="16"/>
  <c r="BD77" i="16"/>
  <c r="BB77" i="16"/>
  <c r="AZ77" i="16"/>
  <c r="AY77" i="16" s="1"/>
  <c r="AX77" i="16"/>
  <c r="AW77" i="16" s="1"/>
  <c r="AV77" i="16"/>
  <c r="AU77" i="16" s="1"/>
  <c r="AT77" i="16"/>
  <c r="AS77" i="16" s="1"/>
  <c r="AR77" i="16"/>
  <c r="AQ77" i="16" s="1"/>
  <c r="AP77" i="16"/>
  <c r="AO77" i="16" s="1"/>
  <c r="AN77" i="16"/>
  <c r="AM77" i="16" s="1"/>
  <c r="AL77" i="16"/>
  <c r="AK77" i="16" s="1"/>
  <c r="AJ77" i="16"/>
  <c r="AI77" i="16" s="1"/>
  <c r="BH76" i="16"/>
  <c r="BI76" i="16" s="1"/>
  <c r="BF76" i="16"/>
  <c r="BD76" i="16"/>
  <c r="BB76" i="16"/>
  <c r="AZ76" i="16"/>
  <c r="AY76" i="16" s="1"/>
  <c r="AX76" i="16"/>
  <c r="AW76" i="16" s="1"/>
  <c r="AV76" i="16"/>
  <c r="AU76" i="16" s="1"/>
  <c r="AT76" i="16"/>
  <c r="AS76" i="16" s="1"/>
  <c r="AR76" i="16"/>
  <c r="AQ76" i="16" s="1"/>
  <c r="AP76" i="16"/>
  <c r="AO76" i="16" s="1"/>
  <c r="AN76" i="16"/>
  <c r="AM76" i="16" s="1"/>
  <c r="AL76" i="16"/>
  <c r="AK76" i="16" s="1"/>
  <c r="AJ76" i="16"/>
  <c r="AI76" i="16" s="1"/>
  <c r="BH75" i="16"/>
  <c r="BI75" i="16" s="1"/>
  <c r="BF75" i="16"/>
  <c r="BD75" i="16"/>
  <c r="BB75" i="16"/>
  <c r="AZ75" i="16"/>
  <c r="AY75" i="16" s="1"/>
  <c r="AX75" i="16"/>
  <c r="AW75" i="16" s="1"/>
  <c r="AV75" i="16"/>
  <c r="AU75" i="16" s="1"/>
  <c r="AT75" i="16"/>
  <c r="AS75" i="16" s="1"/>
  <c r="AR75" i="16"/>
  <c r="AQ75" i="16" s="1"/>
  <c r="AP75" i="16"/>
  <c r="AO75" i="16" s="1"/>
  <c r="AN75" i="16"/>
  <c r="AM75" i="16" s="1"/>
  <c r="AL75" i="16"/>
  <c r="AK75" i="16" s="1"/>
  <c r="AJ75" i="16"/>
  <c r="AI75" i="16" s="1"/>
  <c r="BH74" i="16"/>
  <c r="BF74" i="16"/>
  <c r="BE74" i="16" s="1"/>
  <c r="BD74" i="16"/>
  <c r="BC74" i="16" s="1"/>
  <c r="BB74" i="16"/>
  <c r="BA74" i="16" s="1"/>
  <c r="AZ74" i="16"/>
  <c r="AX74" i="16"/>
  <c r="AV74" i="16"/>
  <c r="AT74" i="16"/>
  <c r="AR74" i="16"/>
  <c r="AP74" i="16"/>
  <c r="AN74" i="16"/>
  <c r="AL74" i="16"/>
  <c r="AJ74" i="16"/>
  <c r="BH73" i="16"/>
  <c r="BF73" i="16"/>
  <c r="BE73" i="16" s="1"/>
  <c r="BD73" i="16"/>
  <c r="BC73" i="16" s="1"/>
  <c r="BB73" i="16"/>
  <c r="BA73" i="16" s="1"/>
  <c r="AZ73" i="16"/>
  <c r="AX73" i="16"/>
  <c r="AV73" i="16"/>
  <c r="AT73" i="16"/>
  <c r="AR73" i="16"/>
  <c r="AP73" i="16"/>
  <c r="AN73" i="16"/>
  <c r="AL73" i="16"/>
  <c r="AJ73" i="16"/>
  <c r="BH72" i="16"/>
  <c r="BF72" i="16"/>
  <c r="BD72" i="16"/>
  <c r="BB72" i="16"/>
  <c r="AZ72" i="16"/>
  <c r="AX72" i="16"/>
  <c r="AV72" i="16"/>
  <c r="AT72" i="16"/>
  <c r="AR72" i="16"/>
  <c r="AP72" i="16"/>
  <c r="AN72" i="16"/>
  <c r="AL72" i="16"/>
  <c r="AJ72" i="16"/>
  <c r="BH71" i="16"/>
  <c r="BI71" i="16" s="1"/>
  <c r="BF71" i="16"/>
  <c r="BE71" i="16" s="1"/>
  <c r="BD71" i="16"/>
  <c r="BC71" i="16" s="1"/>
  <c r="BB71" i="16"/>
  <c r="BA71" i="16" s="1"/>
  <c r="AZ71" i="16"/>
  <c r="AX71" i="16"/>
  <c r="AV71" i="16"/>
  <c r="AT71" i="16"/>
  <c r="AS71" i="16" s="1"/>
  <c r="AR71" i="16"/>
  <c r="AQ71" i="16" s="1"/>
  <c r="AP71" i="16"/>
  <c r="AO71" i="16" s="1"/>
  <c r="AN71" i="16"/>
  <c r="AL71" i="16"/>
  <c r="AJ71" i="16"/>
  <c r="BH70" i="16"/>
  <c r="BG70" i="16" s="1"/>
  <c r="BF70" i="16"/>
  <c r="BD70" i="16"/>
  <c r="BB70" i="16"/>
  <c r="AZ70" i="16"/>
  <c r="AX70" i="16"/>
  <c r="AV70" i="16"/>
  <c r="AT70" i="16"/>
  <c r="AS70" i="16" s="1"/>
  <c r="AR70" i="16"/>
  <c r="AQ70" i="16" s="1"/>
  <c r="AP70" i="16"/>
  <c r="AO70" i="16" s="1"/>
  <c r="AN70" i="16"/>
  <c r="AM70" i="16" s="1"/>
  <c r="AL70" i="16"/>
  <c r="AK70" i="16" s="1"/>
  <c r="AJ70" i="16"/>
  <c r="AI70" i="16" s="1"/>
  <c r="BH69" i="16"/>
  <c r="BF69" i="16"/>
  <c r="BD69" i="16"/>
  <c r="BB69" i="16"/>
  <c r="AZ69" i="16"/>
  <c r="AX69" i="16"/>
  <c r="AV69" i="16"/>
  <c r="AT69" i="16"/>
  <c r="AR69" i="16"/>
  <c r="AP69" i="16"/>
  <c r="AN69" i="16"/>
  <c r="AL69" i="16"/>
  <c r="AJ69" i="16"/>
  <c r="BH68" i="16"/>
  <c r="BF68" i="16"/>
  <c r="BD68" i="16"/>
  <c r="BB68" i="16"/>
  <c r="AZ68" i="16"/>
  <c r="AX68" i="16"/>
  <c r="AV68" i="16"/>
  <c r="AT68" i="16"/>
  <c r="AR68" i="16"/>
  <c r="AP68" i="16"/>
  <c r="AN68" i="16"/>
  <c r="AL68" i="16"/>
  <c r="AJ68" i="16"/>
  <c r="BH67" i="16"/>
  <c r="BF67" i="16"/>
  <c r="BD67" i="16"/>
  <c r="BB67" i="16"/>
  <c r="AZ67" i="16"/>
  <c r="AX67" i="16"/>
  <c r="AV67" i="16"/>
  <c r="AT67" i="16"/>
  <c r="AR67" i="16"/>
  <c r="AP67" i="16"/>
  <c r="AN67" i="16"/>
  <c r="AL67" i="16"/>
  <c r="AJ67" i="16"/>
  <c r="BH66" i="16"/>
  <c r="BI66" i="16" s="1"/>
  <c r="BF66" i="16"/>
  <c r="BE66" i="16" s="1"/>
  <c r="BD66" i="16"/>
  <c r="BC66" i="16" s="1"/>
  <c r="BB66" i="16"/>
  <c r="BA66" i="16" s="1"/>
  <c r="AZ66" i="16"/>
  <c r="AX66" i="16"/>
  <c r="AV66" i="16"/>
  <c r="AT66" i="16"/>
  <c r="AR66" i="16"/>
  <c r="AP66" i="16"/>
  <c r="AN66" i="16"/>
  <c r="AL66" i="16"/>
  <c r="AJ66" i="16"/>
  <c r="BH65" i="16"/>
  <c r="BF65" i="16"/>
  <c r="BD65" i="16"/>
  <c r="BB65" i="16"/>
  <c r="AZ65" i="16"/>
  <c r="AX65" i="16"/>
  <c r="AV65" i="16"/>
  <c r="AT65" i="16"/>
  <c r="AR65" i="16"/>
  <c r="AP65" i="16"/>
  <c r="AN65" i="16"/>
  <c r="AL65" i="16"/>
  <c r="AJ65" i="16"/>
  <c r="BH64" i="16"/>
  <c r="BF64" i="16"/>
  <c r="BD64" i="16"/>
  <c r="BB64" i="16"/>
  <c r="AZ64" i="16"/>
  <c r="AX64" i="16"/>
  <c r="AV64" i="16"/>
  <c r="AT64" i="16"/>
  <c r="AR64" i="16"/>
  <c r="AP64" i="16"/>
  <c r="AN64" i="16"/>
  <c r="AL64" i="16"/>
  <c r="AJ64" i="16"/>
  <c r="BH63" i="16"/>
  <c r="BF63" i="16"/>
  <c r="BD63" i="16"/>
  <c r="BB63" i="16"/>
  <c r="AZ63" i="16"/>
  <c r="AX63" i="16"/>
  <c r="AV63" i="16"/>
  <c r="AT63" i="16"/>
  <c r="AR63" i="16"/>
  <c r="AP63" i="16"/>
  <c r="AN63" i="16"/>
  <c r="AL63" i="16"/>
  <c r="AJ63" i="16"/>
  <c r="BH62" i="16"/>
  <c r="BI62" i="16" s="1"/>
  <c r="BF62" i="16"/>
  <c r="BD62" i="16"/>
  <c r="BB62" i="16"/>
  <c r="AZ62" i="16"/>
  <c r="AX62" i="16"/>
  <c r="AV62" i="16"/>
  <c r="AT62" i="16"/>
  <c r="AR62" i="16"/>
  <c r="AP62" i="16"/>
  <c r="AN62" i="16"/>
  <c r="AL62" i="16"/>
  <c r="AJ62" i="16"/>
  <c r="BH61" i="16"/>
  <c r="BF61" i="16"/>
  <c r="BD61" i="16"/>
  <c r="BB61" i="16"/>
  <c r="AZ61" i="16"/>
  <c r="AX61" i="16"/>
  <c r="AV61" i="16"/>
  <c r="AT61" i="16"/>
  <c r="AR61" i="16"/>
  <c r="AP61" i="16"/>
  <c r="AN61" i="16"/>
  <c r="AL61" i="16"/>
  <c r="AJ61" i="16"/>
  <c r="BH60" i="16"/>
  <c r="BF60" i="16"/>
  <c r="BD60" i="16"/>
  <c r="BB60" i="16"/>
  <c r="AZ60" i="16"/>
  <c r="AX60" i="16"/>
  <c r="AV60" i="16"/>
  <c r="AT60" i="16"/>
  <c r="AR60" i="16"/>
  <c r="AP60" i="16"/>
  <c r="AN60" i="16"/>
  <c r="AL60" i="16"/>
  <c r="AJ60" i="16"/>
  <c r="BH59" i="16"/>
  <c r="BF59" i="16"/>
  <c r="BD59" i="16"/>
  <c r="BB59" i="16"/>
  <c r="AZ59" i="16"/>
  <c r="AX59" i="16"/>
  <c r="AV59" i="16"/>
  <c r="AT59" i="16"/>
  <c r="AR59" i="16"/>
  <c r="AP59" i="16"/>
  <c r="AN59" i="16"/>
  <c r="AL59" i="16"/>
  <c r="AJ59" i="16"/>
  <c r="BH58" i="16"/>
  <c r="BI58" i="16" s="1"/>
  <c r="BF58" i="16"/>
  <c r="BD58" i="16"/>
  <c r="BB58" i="16"/>
  <c r="AZ58" i="16"/>
  <c r="AX58" i="16"/>
  <c r="AV58" i="16"/>
  <c r="AT58" i="16"/>
  <c r="AR58" i="16"/>
  <c r="AP58" i="16"/>
  <c r="AN58" i="16"/>
  <c r="AL58" i="16"/>
  <c r="AJ58" i="16"/>
  <c r="BH57" i="16"/>
  <c r="BF57" i="16"/>
  <c r="BD57" i="16"/>
  <c r="BB57" i="16"/>
  <c r="AZ57" i="16"/>
  <c r="AX57" i="16"/>
  <c r="AV57" i="16"/>
  <c r="AT57" i="16"/>
  <c r="AR57" i="16"/>
  <c r="AP57" i="16"/>
  <c r="AN57" i="16"/>
  <c r="AL57" i="16"/>
  <c r="AJ57" i="16"/>
  <c r="BH56" i="16"/>
  <c r="BF56" i="16"/>
  <c r="BD56" i="16"/>
  <c r="BB56" i="16"/>
  <c r="AZ56" i="16"/>
  <c r="AX56" i="16"/>
  <c r="AV56" i="16"/>
  <c r="AT56" i="16"/>
  <c r="AR56" i="16"/>
  <c r="AP56" i="16"/>
  <c r="AN56" i="16"/>
  <c r="AL56" i="16"/>
  <c r="AJ56" i="16"/>
  <c r="BH55" i="16"/>
  <c r="BI55" i="16" s="1"/>
  <c r="BF55" i="16"/>
  <c r="BD55" i="16"/>
  <c r="BB55" i="16"/>
  <c r="AZ55" i="16"/>
  <c r="AX55" i="16"/>
  <c r="AV55" i="16"/>
  <c r="AT55" i="16"/>
  <c r="AR55" i="16"/>
  <c r="AP55" i="16"/>
  <c r="AN55" i="16"/>
  <c r="AL55" i="16"/>
  <c r="AJ55" i="16"/>
  <c r="BH54" i="16"/>
  <c r="BG54" i="16" s="1"/>
  <c r="BF54" i="16"/>
  <c r="BE54" i="16" s="1"/>
  <c r="BD54" i="16"/>
  <c r="BC54" i="16" s="1"/>
  <c r="BB54" i="16"/>
  <c r="BA54" i="16" s="1"/>
  <c r="AZ54" i="16"/>
  <c r="AY54" i="16" s="1"/>
  <c r="AX54" i="16"/>
  <c r="AW54" i="16" s="1"/>
  <c r="AV54" i="16"/>
  <c r="AU54" i="16" s="1"/>
  <c r="AT54" i="16"/>
  <c r="AS54" i="16" s="1"/>
  <c r="AR54" i="16"/>
  <c r="AQ54" i="16" s="1"/>
  <c r="AP54" i="16"/>
  <c r="AO54" i="16" s="1"/>
  <c r="AN54" i="16"/>
  <c r="AL54" i="16"/>
  <c r="AJ54" i="16"/>
  <c r="BH53" i="16"/>
  <c r="BI53" i="16" s="1"/>
  <c r="BF53" i="16"/>
  <c r="BD53" i="16"/>
  <c r="BB53" i="16"/>
  <c r="AZ53" i="16"/>
  <c r="AX53" i="16"/>
  <c r="AV53" i="16"/>
  <c r="AT53" i="16"/>
  <c r="AR53" i="16"/>
  <c r="AP53" i="16"/>
  <c r="AN53" i="16"/>
  <c r="AL53" i="16"/>
  <c r="AJ53" i="16"/>
  <c r="BH52" i="16"/>
  <c r="BI52" i="16" s="1"/>
  <c r="BF52" i="16"/>
  <c r="BE52" i="16" s="1"/>
  <c r="BD52" i="16"/>
  <c r="BC52" i="16" s="1"/>
  <c r="BB52" i="16"/>
  <c r="BA52" i="16" s="1"/>
  <c r="AZ52" i="16"/>
  <c r="AY52" i="16" s="1"/>
  <c r="AX52" i="16"/>
  <c r="AW52" i="16" s="1"/>
  <c r="AV52" i="16"/>
  <c r="AU52" i="16" s="1"/>
  <c r="AT52" i="16"/>
  <c r="AS52" i="16" s="1"/>
  <c r="AR52" i="16"/>
  <c r="AQ52" i="16" s="1"/>
  <c r="AP52" i="16"/>
  <c r="AO52" i="16" s="1"/>
  <c r="AN52" i="16"/>
  <c r="AM52" i="16" s="1"/>
  <c r="AL52" i="16"/>
  <c r="AK52" i="16" s="1"/>
  <c r="AJ52" i="16"/>
  <c r="AI52" i="16" s="1"/>
  <c r="BH51" i="16"/>
  <c r="BI51" i="16" s="1"/>
  <c r="BF51" i="16"/>
  <c r="BE51" i="16" s="1"/>
  <c r="BD51" i="16"/>
  <c r="BC51" i="16" s="1"/>
  <c r="BB51" i="16"/>
  <c r="BA51" i="16" s="1"/>
  <c r="AZ51" i="16"/>
  <c r="AY51" i="16" s="1"/>
  <c r="AX51" i="16"/>
  <c r="AW51" i="16" s="1"/>
  <c r="AV51" i="16"/>
  <c r="AU51" i="16" s="1"/>
  <c r="AT51" i="16"/>
  <c r="AS51" i="16" s="1"/>
  <c r="AR51" i="16"/>
  <c r="AQ51" i="16" s="1"/>
  <c r="AP51" i="16"/>
  <c r="AO51" i="16" s="1"/>
  <c r="AN51" i="16"/>
  <c r="AM51" i="16" s="1"/>
  <c r="AL51" i="16"/>
  <c r="AK51" i="16" s="1"/>
  <c r="AJ51" i="16"/>
  <c r="AI51" i="16" s="1"/>
  <c r="BH50" i="16"/>
  <c r="BI50" i="16" s="1"/>
  <c r="BF50" i="16"/>
  <c r="BE50" i="16" s="1"/>
  <c r="BD50" i="16"/>
  <c r="BC50" i="16" s="1"/>
  <c r="BB50" i="16"/>
  <c r="BA50" i="16" s="1"/>
  <c r="AZ50" i="16"/>
  <c r="AY50" i="16" s="1"/>
  <c r="AX50" i="16"/>
  <c r="AW50" i="16" s="1"/>
  <c r="AV50" i="16"/>
  <c r="AU50" i="16" s="1"/>
  <c r="AT50" i="16"/>
  <c r="AS50" i="16" s="1"/>
  <c r="AR50" i="16"/>
  <c r="AQ50" i="16" s="1"/>
  <c r="AP50" i="16"/>
  <c r="AO50" i="16" s="1"/>
  <c r="AN50" i="16"/>
  <c r="AM50" i="16" s="1"/>
  <c r="AL50" i="16"/>
  <c r="AK50" i="16" s="1"/>
  <c r="AJ50" i="16"/>
  <c r="AI50" i="16" s="1"/>
  <c r="BH49" i="16"/>
  <c r="BI49" i="16" s="1"/>
  <c r="BF49" i="16"/>
  <c r="BD49" i="16"/>
  <c r="BB49" i="16"/>
  <c r="AZ49" i="16"/>
  <c r="AX49" i="16"/>
  <c r="AV49" i="16"/>
  <c r="AT49" i="16"/>
  <c r="AR49" i="16"/>
  <c r="AP49" i="16"/>
  <c r="AN49" i="16"/>
  <c r="AM49" i="16" s="1"/>
  <c r="AL49" i="16"/>
  <c r="AK49" i="16" s="1"/>
  <c r="AJ49" i="16"/>
  <c r="AI49" i="16" s="1"/>
  <c r="BH48" i="16"/>
  <c r="BF48" i="16"/>
  <c r="BD48" i="16"/>
  <c r="BB48" i="16"/>
  <c r="AZ48" i="16"/>
  <c r="AX48" i="16"/>
  <c r="AV48" i="16"/>
  <c r="AT48" i="16"/>
  <c r="AR48" i="16"/>
  <c r="AP48" i="16"/>
  <c r="AN48" i="16"/>
  <c r="AL48" i="16"/>
  <c r="AJ48" i="16"/>
  <c r="BH47" i="16"/>
  <c r="BF47" i="16"/>
  <c r="BE47" i="16" s="1"/>
  <c r="BD47" i="16"/>
  <c r="BC47" i="16" s="1"/>
  <c r="BB47" i="16"/>
  <c r="BA47" i="16" s="1"/>
  <c r="AZ47" i="16"/>
  <c r="AX47" i="16"/>
  <c r="AV47" i="16"/>
  <c r="AT47" i="16"/>
  <c r="AR47" i="16"/>
  <c r="AP47" i="16"/>
  <c r="AN47" i="16"/>
  <c r="AL47" i="16"/>
  <c r="AJ47" i="16"/>
  <c r="BH46" i="16"/>
  <c r="BF46" i="16"/>
  <c r="BE46" i="16" s="1"/>
  <c r="BD46" i="16"/>
  <c r="BC46" i="16" s="1"/>
  <c r="BB46" i="16"/>
  <c r="BA46" i="16" s="1"/>
  <c r="AZ46" i="16"/>
  <c r="AX46" i="16"/>
  <c r="AV46" i="16"/>
  <c r="AT46" i="16"/>
  <c r="AR46" i="16"/>
  <c r="AP46" i="16"/>
  <c r="AN46" i="16"/>
  <c r="AL46" i="16"/>
  <c r="AJ46" i="16"/>
  <c r="BH45" i="16"/>
  <c r="BF45" i="16"/>
  <c r="BE45" i="16" s="1"/>
  <c r="BD45" i="16"/>
  <c r="BC45" i="16" s="1"/>
  <c r="BB45" i="16"/>
  <c r="BA45" i="16" s="1"/>
  <c r="AZ45" i="16"/>
  <c r="AX45" i="16"/>
  <c r="AV45" i="16"/>
  <c r="AT45" i="16"/>
  <c r="AR45" i="16"/>
  <c r="AP45" i="16"/>
  <c r="AN45" i="16"/>
  <c r="AL45" i="16"/>
  <c r="AJ45" i="16"/>
  <c r="BH44" i="16"/>
  <c r="BI44" i="16" s="1"/>
  <c r="BF44" i="16"/>
  <c r="BE44" i="16" s="1"/>
  <c r="BD44" i="16"/>
  <c r="BC44" i="16" s="1"/>
  <c r="BB44" i="16"/>
  <c r="BA44" i="16" s="1"/>
  <c r="AZ44" i="16"/>
  <c r="AY44" i="16" s="1"/>
  <c r="AX44" i="16"/>
  <c r="AW44" i="16" s="1"/>
  <c r="AV44" i="16"/>
  <c r="AU44" i="16" s="1"/>
  <c r="AT44" i="16"/>
  <c r="AR44" i="16"/>
  <c r="AP44" i="16"/>
  <c r="AN44" i="16"/>
  <c r="AL44" i="16"/>
  <c r="AJ44" i="16"/>
  <c r="BH43" i="16"/>
  <c r="BI43" i="16" s="1"/>
  <c r="BF43" i="16"/>
  <c r="BE43" i="16" s="1"/>
  <c r="BD43" i="16"/>
  <c r="BC43" i="16" s="1"/>
  <c r="BB43" i="16"/>
  <c r="BA43" i="16" s="1"/>
  <c r="AZ43" i="16"/>
  <c r="AY43" i="16" s="1"/>
  <c r="AX43" i="16"/>
  <c r="AW43" i="16" s="1"/>
  <c r="AV43" i="16"/>
  <c r="AU43" i="16" s="1"/>
  <c r="AT43" i="16"/>
  <c r="AS43" i="16" s="1"/>
  <c r="AR43" i="16"/>
  <c r="AQ43" i="16" s="1"/>
  <c r="AP43" i="16"/>
  <c r="AO43" i="16" s="1"/>
  <c r="AN43" i="16"/>
  <c r="AL43" i="16"/>
  <c r="AJ43" i="16"/>
  <c r="BH42" i="16"/>
  <c r="BF42" i="16"/>
  <c r="BE42" i="16" s="1"/>
  <c r="BD42" i="16"/>
  <c r="BC42" i="16" s="1"/>
  <c r="BB42" i="16"/>
  <c r="BA42" i="16" s="1"/>
  <c r="AZ42" i="16"/>
  <c r="AX42" i="16"/>
  <c r="AV42" i="16"/>
  <c r="AT42" i="16"/>
  <c r="AR42" i="16"/>
  <c r="AP42" i="16"/>
  <c r="AN42" i="16"/>
  <c r="AL42" i="16"/>
  <c r="AJ42" i="16"/>
  <c r="BH41" i="16"/>
  <c r="BI41" i="16" s="1"/>
  <c r="BF41" i="16"/>
  <c r="BE41" i="16" s="1"/>
  <c r="BD41" i="16"/>
  <c r="BC41" i="16" s="1"/>
  <c r="BB41" i="16"/>
  <c r="BA41" i="16" s="1"/>
  <c r="AZ41" i="16"/>
  <c r="AY41" i="16" s="1"/>
  <c r="AX41" i="16"/>
  <c r="AW41" i="16" s="1"/>
  <c r="AV41" i="16"/>
  <c r="AU41" i="16" s="1"/>
  <c r="AT41" i="16"/>
  <c r="AS41" i="16" s="1"/>
  <c r="AR41" i="16"/>
  <c r="AQ41" i="16" s="1"/>
  <c r="AP41" i="16"/>
  <c r="AO41" i="16" s="1"/>
  <c r="AN41" i="16"/>
  <c r="AL41" i="16"/>
  <c r="AJ41" i="16"/>
  <c r="BH40" i="16"/>
  <c r="BF40" i="16"/>
  <c r="BD40" i="16"/>
  <c r="BB40" i="16"/>
  <c r="AZ40" i="16"/>
  <c r="AX40" i="16"/>
  <c r="AV40" i="16"/>
  <c r="AT40" i="16"/>
  <c r="AR40" i="16"/>
  <c r="AP40" i="16"/>
  <c r="AN40" i="16"/>
  <c r="AL40" i="16"/>
  <c r="AJ40" i="16"/>
  <c r="BH39" i="16"/>
  <c r="BF39" i="16"/>
  <c r="BD39" i="16"/>
  <c r="BB39" i="16"/>
  <c r="AZ39" i="16"/>
  <c r="AX39" i="16"/>
  <c r="AV39" i="16"/>
  <c r="AT39" i="16"/>
  <c r="AR39" i="16"/>
  <c r="AP39" i="16"/>
  <c r="AN39" i="16"/>
  <c r="AL39" i="16"/>
  <c r="AJ39" i="16"/>
  <c r="BH38" i="16"/>
  <c r="BF38" i="16"/>
  <c r="BD38" i="16"/>
  <c r="BB38" i="16"/>
  <c r="AZ38" i="16"/>
  <c r="AX38" i="16"/>
  <c r="AV38" i="16"/>
  <c r="AT38" i="16"/>
  <c r="AR38" i="16"/>
  <c r="AP38" i="16"/>
  <c r="AN38" i="16"/>
  <c r="AL38" i="16"/>
  <c r="AJ38" i="16"/>
  <c r="BH37" i="16"/>
  <c r="BF37" i="16"/>
  <c r="BD37" i="16"/>
  <c r="BB37" i="16"/>
  <c r="AZ37" i="16"/>
  <c r="AX37" i="16"/>
  <c r="AV37" i="16"/>
  <c r="AT37" i="16"/>
  <c r="AR37" i="16"/>
  <c r="AP37" i="16"/>
  <c r="AN37" i="16"/>
  <c r="AL37" i="16"/>
  <c r="AJ37" i="16"/>
  <c r="BH36" i="16"/>
  <c r="BI36" i="16" s="1"/>
  <c r="BF36" i="16"/>
  <c r="BD36" i="16"/>
  <c r="BB36" i="16"/>
  <c r="AZ36" i="16"/>
  <c r="AX36" i="16"/>
  <c r="AV36" i="16"/>
  <c r="AT36" i="16"/>
  <c r="AR36" i="16"/>
  <c r="AP36" i="16"/>
  <c r="AN36" i="16"/>
  <c r="AM36" i="16" s="1"/>
  <c r="AL36" i="16"/>
  <c r="AK36" i="16" s="1"/>
  <c r="AJ36" i="16"/>
  <c r="AI36" i="16" s="1"/>
  <c r="BH35" i="16"/>
  <c r="BI35" i="16" s="1"/>
  <c r="BF35" i="16"/>
  <c r="BD35" i="16"/>
  <c r="BB35" i="16"/>
  <c r="AZ35" i="16"/>
  <c r="AX35" i="16"/>
  <c r="AV35" i="16"/>
  <c r="AT35" i="16"/>
  <c r="AR35" i="16"/>
  <c r="AP35" i="16"/>
  <c r="AN35" i="16"/>
  <c r="AM35" i="16" s="1"/>
  <c r="AL35" i="16"/>
  <c r="AK35" i="16" s="1"/>
  <c r="AJ35" i="16"/>
  <c r="AI35" i="16" s="1"/>
  <c r="BH34" i="16"/>
  <c r="BI34" i="16" s="1"/>
  <c r="BF34" i="16"/>
  <c r="BD34" i="16"/>
  <c r="BB34" i="16"/>
  <c r="AZ34" i="16"/>
  <c r="AX34" i="16"/>
  <c r="AV34" i="16"/>
  <c r="AT34" i="16"/>
  <c r="AR34" i="16"/>
  <c r="AP34" i="16"/>
  <c r="AN34" i="16"/>
  <c r="AL34" i="16"/>
  <c r="AJ34" i="16"/>
  <c r="BH33" i="16"/>
  <c r="BF33" i="16"/>
  <c r="BD33" i="16"/>
  <c r="BB33" i="16"/>
  <c r="AZ33" i="16"/>
  <c r="AX33" i="16"/>
  <c r="AV33" i="16"/>
  <c r="AT33" i="16"/>
  <c r="AS33" i="16" s="1"/>
  <c r="AR33" i="16"/>
  <c r="AQ33" i="16" s="1"/>
  <c r="AP33" i="16"/>
  <c r="AO33" i="16" s="1"/>
  <c r="AN33" i="16"/>
  <c r="AL33" i="16"/>
  <c r="AJ33" i="16"/>
  <c r="BH32" i="16"/>
  <c r="BF32" i="16"/>
  <c r="BD32" i="16"/>
  <c r="BB32" i="16"/>
  <c r="AZ32" i="16"/>
  <c r="AX32" i="16"/>
  <c r="AV32" i="16"/>
  <c r="AT32" i="16"/>
  <c r="AR32" i="16"/>
  <c r="AP32" i="16"/>
  <c r="AN32" i="16"/>
  <c r="AL32" i="16"/>
  <c r="AJ32" i="16"/>
  <c r="BH31" i="16"/>
  <c r="BF31" i="16"/>
  <c r="BD31" i="16"/>
  <c r="BB31" i="16"/>
  <c r="AZ31" i="16"/>
  <c r="AX31" i="16"/>
  <c r="AV31" i="16"/>
  <c r="AT31" i="16"/>
  <c r="AR31" i="16"/>
  <c r="AP31" i="16"/>
  <c r="AN31" i="16"/>
  <c r="AL31" i="16"/>
  <c r="AJ31" i="16"/>
  <c r="BH30" i="16"/>
  <c r="BF30" i="16"/>
  <c r="BD30" i="16"/>
  <c r="BB30" i="16"/>
  <c r="AZ30" i="16"/>
  <c r="AX30" i="16"/>
  <c r="AV30" i="16"/>
  <c r="AT30" i="16"/>
  <c r="AR30" i="16"/>
  <c r="AP30" i="16"/>
  <c r="AN30" i="16"/>
  <c r="AL30" i="16"/>
  <c r="AJ30" i="16"/>
  <c r="BH29" i="16"/>
  <c r="BF29" i="16"/>
  <c r="BD29" i="16"/>
  <c r="BB29" i="16"/>
  <c r="AZ29" i="16"/>
  <c r="AX29" i="16"/>
  <c r="AV29" i="16"/>
  <c r="AT29" i="16"/>
  <c r="AR29" i="16"/>
  <c r="AP29" i="16"/>
  <c r="AN29" i="16"/>
  <c r="AL29" i="16"/>
  <c r="AJ29" i="16"/>
  <c r="BH28" i="16"/>
  <c r="BF28" i="16"/>
  <c r="BD28" i="16"/>
  <c r="BB28" i="16"/>
  <c r="AZ28" i="16"/>
  <c r="AX28" i="16"/>
  <c r="AV28" i="16"/>
  <c r="AT28" i="16"/>
  <c r="AS28" i="16" s="1"/>
  <c r="AR28" i="16"/>
  <c r="AQ28" i="16" s="1"/>
  <c r="AP28" i="16"/>
  <c r="AO28" i="16" s="1"/>
  <c r="AN28" i="16"/>
  <c r="AL28" i="16"/>
  <c r="AJ28" i="16"/>
  <c r="BH27" i="16"/>
  <c r="BF27" i="16"/>
  <c r="BE27" i="16" s="1"/>
  <c r="BD27" i="16"/>
  <c r="BC27" i="16" s="1"/>
  <c r="BB27" i="16"/>
  <c r="BA27" i="16" s="1"/>
  <c r="AZ27" i="16"/>
  <c r="AX27" i="16"/>
  <c r="AV27" i="16"/>
  <c r="AT27" i="16"/>
  <c r="AR27" i="16"/>
  <c r="AP27" i="16"/>
  <c r="AN27" i="16"/>
  <c r="AL27" i="16"/>
  <c r="AJ27" i="16"/>
  <c r="BH26" i="16"/>
  <c r="BF26" i="16"/>
  <c r="BE26" i="16" s="1"/>
  <c r="BD26" i="16"/>
  <c r="BC26" i="16" s="1"/>
  <c r="BB26" i="16"/>
  <c r="BA26" i="16" s="1"/>
  <c r="AZ26" i="16"/>
  <c r="AX26" i="16"/>
  <c r="AV26" i="16"/>
  <c r="AT26" i="16"/>
  <c r="AR26" i="16"/>
  <c r="AP26" i="16"/>
  <c r="AN26" i="16"/>
  <c r="AL26" i="16"/>
  <c r="AJ26" i="16"/>
  <c r="BH25" i="16"/>
  <c r="BF25" i="16"/>
  <c r="BD25" i="16"/>
  <c r="BB25" i="16"/>
  <c r="AZ25" i="16"/>
  <c r="AX25" i="16"/>
  <c r="AV25" i="16"/>
  <c r="AT25" i="16"/>
  <c r="AR25" i="16"/>
  <c r="AP25" i="16"/>
  <c r="AN25" i="16"/>
  <c r="AL25" i="16"/>
  <c r="AJ25" i="16"/>
  <c r="BH24" i="16"/>
  <c r="BF24" i="16"/>
  <c r="BD24" i="16"/>
  <c r="BB24" i="16"/>
  <c r="AZ24" i="16"/>
  <c r="AX24" i="16"/>
  <c r="AV24" i="16"/>
  <c r="AT24" i="16"/>
  <c r="AR24" i="16"/>
  <c r="AP24" i="16"/>
  <c r="AN24" i="16"/>
  <c r="AL24" i="16"/>
  <c r="AJ24" i="16"/>
  <c r="BH23" i="16"/>
  <c r="BF23" i="16"/>
  <c r="BD23" i="16"/>
  <c r="BB23" i="16"/>
  <c r="AZ23" i="16"/>
  <c r="AX23" i="16"/>
  <c r="AV23" i="16"/>
  <c r="AT23" i="16"/>
  <c r="AR23" i="16"/>
  <c r="AP23" i="16"/>
  <c r="AN23" i="16"/>
  <c r="AL23" i="16"/>
  <c r="AJ23" i="16"/>
  <c r="BH22" i="16"/>
  <c r="BF22" i="16"/>
  <c r="BD22" i="16"/>
  <c r="BB22" i="16"/>
  <c r="AZ22" i="16"/>
  <c r="AX22" i="16"/>
  <c r="AV22" i="16"/>
  <c r="AT22" i="16"/>
  <c r="AR22" i="16"/>
  <c r="AP22" i="16"/>
  <c r="AN22" i="16"/>
  <c r="AL22" i="16"/>
  <c r="AJ22" i="16"/>
  <c r="BH21" i="16"/>
  <c r="BF21" i="16"/>
  <c r="BD21" i="16"/>
  <c r="BB21" i="16"/>
  <c r="AZ21" i="16"/>
  <c r="AX21" i="16"/>
  <c r="AV21" i="16"/>
  <c r="AT21" i="16"/>
  <c r="AR21" i="16"/>
  <c r="AP21" i="16"/>
  <c r="AN21" i="16"/>
  <c r="AL21" i="16"/>
  <c r="AJ21" i="16"/>
  <c r="BH20" i="16"/>
  <c r="BF20" i="16"/>
  <c r="BD20" i="16"/>
  <c r="BB20" i="16"/>
  <c r="AZ20" i="16"/>
  <c r="AX20" i="16"/>
  <c r="AV20" i="16"/>
  <c r="AT20" i="16"/>
  <c r="AR20" i="16"/>
  <c r="AP20" i="16"/>
  <c r="AN20" i="16"/>
  <c r="AL20" i="16"/>
  <c r="AJ20" i="16"/>
  <c r="BH19" i="16"/>
  <c r="BF19" i="16"/>
  <c r="BE19" i="16" s="1"/>
  <c r="BD19" i="16"/>
  <c r="BB19" i="16"/>
  <c r="AZ19" i="16"/>
  <c r="AY19" i="16" s="1"/>
  <c r="AX19" i="16"/>
  <c r="AV19" i="16"/>
  <c r="AT19" i="16"/>
  <c r="AS19" i="16" s="1"/>
  <c r="AR19" i="16"/>
  <c r="AP19" i="16"/>
  <c r="AN19" i="16"/>
  <c r="AM19" i="16" s="1"/>
  <c r="AL19" i="16"/>
  <c r="AJ19" i="16"/>
  <c r="BH18" i="16"/>
  <c r="BI18" i="16" s="1"/>
  <c r="BF18" i="16"/>
  <c r="BD18" i="16"/>
  <c r="BB18" i="16"/>
  <c r="AZ18" i="16"/>
  <c r="AX18" i="16"/>
  <c r="AV18" i="16"/>
  <c r="AT18" i="16"/>
  <c r="AR18" i="16"/>
  <c r="AP18" i="16"/>
  <c r="AN18" i="16"/>
  <c r="AL18" i="16"/>
  <c r="AJ18" i="16"/>
  <c r="BH17" i="16"/>
  <c r="BF17" i="16"/>
  <c r="BD17" i="16"/>
  <c r="BB17" i="16"/>
  <c r="AZ17" i="16"/>
  <c r="AX17" i="16"/>
  <c r="AV17" i="16"/>
  <c r="AT17" i="16"/>
  <c r="AR17" i="16"/>
  <c r="AP17" i="16"/>
  <c r="AN17" i="16"/>
  <c r="AL17" i="16"/>
  <c r="AJ17" i="16"/>
  <c r="BH16" i="16"/>
  <c r="BI16" i="16" s="1"/>
  <c r="BF16" i="16"/>
  <c r="BD16" i="16"/>
  <c r="BB16" i="16"/>
  <c r="AZ16" i="16"/>
  <c r="AX16" i="16"/>
  <c r="AV16" i="16"/>
  <c r="AT16" i="16"/>
  <c r="AR16" i="16"/>
  <c r="AP16" i="16"/>
  <c r="AN16" i="16"/>
  <c r="AL16" i="16"/>
  <c r="AJ16" i="16"/>
  <c r="BH15" i="16"/>
  <c r="BF15" i="16"/>
  <c r="BD15" i="16"/>
  <c r="BB15" i="16"/>
  <c r="AZ15" i="16"/>
  <c r="AX15" i="16"/>
  <c r="AV15" i="16"/>
  <c r="AT15" i="16"/>
  <c r="AR15" i="16"/>
  <c r="AP15" i="16"/>
  <c r="AN15" i="16"/>
  <c r="AL15" i="16"/>
  <c r="AJ15" i="16"/>
  <c r="BH14" i="16"/>
  <c r="BF14" i="16"/>
  <c r="BD14" i="16"/>
  <c r="BB14" i="16"/>
  <c r="AZ14" i="16"/>
  <c r="AX14" i="16"/>
  <c r="AV14" i="16"/>
  <c r="AT14" i="16"/>
  <c r="AR14" i="16"/>
  <c r="AP14" i="16"/>
  <c r="AN14" i="16"/>
  <c r="AL14" i="16"/>
  <c r="AJ14" i="16"/>
  <c r="BH13" i="16"/>
  <c r="BF13" i="16"/>
  <c r="BD13" i="16"/>
  <c r="BB13" i="16"/>
  <c r="AZ13" i="16"/>
  <c r="AX13" i="16"/>
  <c r="AV13" i="16"/>
  <c r="AT13" i="16"/>
  <c r="AR13" i="16"/>
  <c r="AP13" i="16"/>
  <c r="AN13" i="16"/>
  <c r="AL13" i="16"/>
  <c r="AJ13" i="16"/>
  <c r="BH12" i="16"/>
  <c r="BF12" i="16"/>
  <c r="BD12" i="16"/>
  <c r="BB12" i="16"/>
  <c r="AZ12" i="16"/>
  <c r="AX12" i="16"/>
  <c r="AV12" i="16"/>
  <c r="AT12" i="16"/>
  <c r="AR12" i="16"/>
  <c r="AP12" i="16"/>
  <c r="AN12" i="16"/>
  <c r="AL12" i="16"/>
  <c r="AJ12" i="16"/>
  <c r="BH11" i="16"/>
  <c r="BF11" i="16"/>
  <c r="BD11" i="16"/>
  <c r="BB11" i="16"/>
  <c r="AZ11" i="16"/>
  <c r="AX11" i="16"/>
  <c r="AV11" i="16"/>
  <c r="AT11" i="16"/>
  <c r="AR11" i="16"/>
  <c r="AP11" i="16"/>
  <c r="AN11" i="16"/>
  <c r="AL11" i="16"/>
  <c r="AJ11" i="16"/>
  <c r="BH10" i="16"/>
  <c r="BF10" i="16"/>
  <c r="BD10" i="16"/>
  <c r="BB10" i="16"/>
  <c r="AZ10" i="16"/>
  <c r="AX10" i="16"/>
  <c r="AV10" i="16"/>
  <c r="AT10" i="16"/>
  <c r="AR10" i="16"/>
  <c r="AP10" i="16"/>
  <c r="AN10" i="16"/>
  <c r="AL10" i="16"/>
  <c r="AJ10" i="16"/>
  <c r="BH9" i="16"/>
  <c r="BF9" i="16"/>
  <c r="BD9" i="16"/>
  <c r="BB9" i="16"/>
  <c r="AZ9" i="16"/>
  <c r="AX9" i="16"/>
  <c r="AV9" i="16"/>
  <c r="AT9" i="16"/>
  <c r="AR9" i="16"/>
  <c r="AP9" i="16"/>
  <c r="AN9" i="16"/>
  <c r="AL9" i="16"/>
  <c r="AJ9" i="16"/>
  <c r="BH8" i="16"/>
  <c r="BF8" i="16"/>
  <c r="BD8" i="16"/>
  <c r="BB8" i="16"/>
  <c r="AZ8" i="16"/>
  <c r="AX8" i="16"/>
  <c r="AV8" i="16"/>
  <c r="AT8" i="16"/>
  <c r="AR8" i="16"/>
  <c r="AP8" i="16"/>
  <c r="AN8" i="16"/>
  <c r="AL8" i="16"/>
  <c r="AJ8" i="16"/>
  <c r="BH7" i="16"/>
  <c r="BF7" i="16"/>
  <c r="BD7" i="16"/>
  <c r="BB7" i="16"/>
  <c r="AZ7" i="16"/>
  <c r="AX7" i="16"/>
  <c r="AV7" i="16"/>
  <c r="AT7" i="16"/>
  <c r="AR7" i="16"/>
  <c r="AP7" i="16"/>
  <c r="AN7" i="16"/>
  <c r="AL7" i="16"/>
  <c r="AJ7" i="16"/>
  <c r="BH6" i="16"/>
  <c r="BF6" i="16"/>
  <c r="BD6" i="16"/>
  <c r="BB6" i="16"/>
  <c r="AZ6" i="16"/>
  <c r="AX6" i="16"/>
  <c r="AV6" i="16"/>
  <c r="AT6" i="16"/>
  <c r="AR6" i="16"/>
  <c r="AP6" i="16"/>
  <c r="AN6" i="16"/>
  <c r="AL6" i="16"/>
  <c r="AJ6" i="16"/>
  <c r="BH5" i="16"/>
  <c r="BF5" i="16"/>
  <c r="BD5" i="16"/>
  <c r="BB5" i="16"/>
  <c r="AZ5" i="16"/>
  <c r="AX5" i="16"/>
  <c r="AV5" i="16"/>
  <c r="AT5" i="16"/>
  <c r="AR5" i="16"/>
  <c r="AP5" i="16"/>
  <c r="AN5" i="16"/>
  <c r="AL5" i="16"/>
  <c r="AJ5" i="16"/>
  <c r="BH4" i="16"/>
  <c r="BF4" i="16"/>
  <c r="BD4" i="16"/>
  <c r="BB4" i="16"/>
  <c r="AZ4" i="16"/>
  <c r="AX4" i="16"/>
  <c r="AV4" i="16"/>
  <c r="AT4" i="16"/>
  <c r="AR4" i="16"/>
  <c r="AP4" i="16"/>
  <c r="AN4" i="16"/>
  <c r="AL4" i="16"/>
  <c r="AJ4" i="16"/>
  <c r="BH3" i="16"/>
  <c r="BF3" i="16"/>
  <c r="BD3" i="16"/>
  <c r="BB3" i="16"/>
  <c r="AZ3" i="16"/>
  <c r="AX3" i="16"/>
  <c r="AV3" i="16"/>
  <c r="AT3" i="16"/>
  <c r="AR3" i="16"/>
  <c r="AP3" i="16"/>
  <c r="AN3" i="16"/>
  <c r="AL3" i="16"/>
  <c r="AJ3" i="16"/>
  <c r="BH2" i="16"/>
  <c r="BF2" i="16"/>
  <c r="BD2" i="16"/>
  <c r="BB2" i="16"/>
  <c r="AZ2" i="16"/>
  <c r="AX2" i="16"/>
  <c r="AV2" i="16"/>
  <c r="AT2" i="16"/>
  <c r="AR2" i="16"/>
  <c r="AP2" i="16"/>
  <c r="AN2" i="16"/>
  <c r="AL2" i="16"/>
  <c r="AJ2" i="16"/>
  <c r="AH83" i="16"/>
  <c r="Y83" i="16"/>
  <c r="P83" i="16"/>
  <c r="AH82" i="16"/>
  <c r="Y82" i="16"/>
  <c r="P82" i="16"/>
  <c r="AH81" i="16"/>
  <c r="Y81" i="16"/>
  <c r="P81" i="16"/>
  <c r="AH80" i="16"/>
  <c r="Y80" i="16"/>
  <c r="P80" i="16"/>
  <c r="AH79" i="16"/>
  <c r="Y79" i="16"/>
  <c r="P79" i="16"/>
  <c r="AH78" i="16"/>
  <c r="Y78" i="16"/>
  <c r="P78" i="16"/>
  <c r="AH77" i="16"/>
  <c r="R77" i="16"/>
  <c r="Y77" i="16" s="1"/>
  <c r="P77" i="16"/>
  <c r="I77" i="16"/>
  <c r="AH76" i="16"/>
  <c r="Y76" i="16"/>
  <c r="P76" i="16"/>
  <c r="AH75" i="16"/>
  <c r="Y75" i="16"/>
  <c r="P75" i="16"/>
  <c r="AH74" i="16"/>
  <c r="Y74" i="16"/>
  <c r="P74" i="16"/>
  <c r="AH73" i="16"/>
  <c r="Y73" i="16"/>
  <c r="P73" i="16"/>
  <c r="AH72" i="16"/>
  <c r="Y72" i="16"/>
  <c r="P72" i="16"/>
  <c r="AH71" i="16"/>
  <c r="Y71" i="16"/>
  <c r="P71" i="16"/>
  <c r="AH70" i="16"/>
  <c r="Y70" i="16"/>
  <c r="P70" i="16"/>
  <c r="AH69" i="16"/>
  <c r="Y69" i="16"/>
  <c r="P69" i="16"/>
  <c r="AH68" i="16"/>
  <c r="Y68" i="16"/>
  <c r="P68" i="16"/>
  <c r="AH67" i="16"/>
  <c r="Y67" i="16"/>
  <c r="P67" i="16"/>
  <c r="AH66" i="16"/>
  <c r="Y66" i="16"/>
  <c r="P66" i="16"/>
  <c r="AH65" i="16"/>
  <c r="Y65" i="16"/>
  <c r="P65" i="16"/>
  <c r="AH64" i="16"/>
  <c r="Y64" i="16"/>
  <c r="P64" i="16"/>
  <c r="AH63" i="16"/>
  <c r="Y63" i="16"/>
  <c r="P63" i="16"/>
  <c r="AH62" i="16"/>
  <c r="Y62" i="16"/>
  <c r="P62" i="16"/>
  <c r="AH61" i="16"/>
  <c r="Y61" i="16"/>
  <c r="P61" i="16"/>
  <c r="AH60" i="16"/>
  <c r="Y60" i="16"/>
  <c r="P60" i="16"/>
  <c r="AH59" i="16"/>
  <c r="Y59" i="16"/>
  <c r="P59" i="16"/>
  <c r="AH58" i="16"/>
  <c r="Y58" i="16"/>
  <c r="P58" i="16"/>
  <c r="AH57" i="16"/>
  <c r="Y57" i="16"/>
  <c r="P57" i="16"/>
  <c r="AH56" i="16"/>
  <c r="Y56" i="16"/>
  <c r="P56" i="16"/>
  <c r="AH55" i="16"/>
  <c r="Y55" i="16"/>
  <c r="P55" i="16"/>
  <c r="AH54" i="16"/>
  <c r="Y54" i="16"/>
  <c r="P54" i="16"/>
  <c r="AH53" i="16"/>
  <c r="Y53" i="16"/>
  <c r="P53" i="16"/>
  <c r="AH52" i="16"/>
  <c r="Y52" i="16"/>
  <c r="P52" i="16"/>
  <c r="AH51" i="16"/>
  <c r="Y51" i="16"/>
  <c r="P51" i="16"/>
  <c r="AE50" i="16"/>
  <c r="AH50" i="16" s="1"/>
  <c r="Y50" i="16"/>
  <c r="P50" i="16"/>
  <c r="AH49" i="16"/>
  <c r="Y49" i="16"/>
  <c r="P49" i="16"/>
  <c r="AH48" i="16"/>
  <c r="Y48" i="16"/>
  <c r="P48" i="16"/>
  <c r="AH47" i="16"/>
  <c r="Y47" i="16"/>
  <c r="J47" i="16"/>
  <c r="P47" i="16" s="1"/>
  <c r="AH46" i="16"/>
  <c r="Y46" i="16"/>
  <c r="P46" i="16"/>
  <c r="AH45" i="16"/>
  <c r="Y45" i="16"/>
  <c r="P45" i="16"/>
  <c r="AH44" i="16"/>
  <c r="Y44" i="16"/>
  <c r="P44" i="16"/>
  <c r="AH43" i="16"/>
  <c r="Y43" i="16"/>
  <c r="P43" i="16"/>
  <c r="AH42" i="16"/>
  <c r="Y42" i="16"/>
  <c r="P42" i="16"/>
  <c r="AH41" i="16"/>
  <c r="Y41" i="16"/>
  <c r="P41" i="16"/>
  <c r="AH40" i="16"/>
  <c r="Y40" i="16"/>
  <c r="P40" i="16"/>
  <c r="AH39" i="16"/>
  <c r="Y39" i="16"/>
  <c r="P39" i="16"/>
  <c r="AH38" i="16"/>
  <c r="Y38" i="16"/>
  <c r="P38" i="16"/>
  <c r="AH37" i="16"/>
  <c r="Y37" i="16"/>
  <c r="P37" i="16"/>
  <c r="AH36" i="16"/>
  <c r="AG36" i="16"/>
  <c r="Y36" i="16"/>
  <c r="P36" i="16"/>
  <c r="AH35" i="16"/>
  <c r="Y35" i="16"/>
  <c r="P35" i="16"/>
  <c r="AH34" i="16"/>
  <c r="Y34" i="16"/>
  <c r="N34" i="16"/>
  <c r="P34" i="16" s="1"/>
  <c r="AH33" i="16"/>
  <c r="Y33" i="16"/>
  <c r="P33" i="16"/>
  <c r="AH32" i="16"/>
  <c r="Y32" i="16"/>
  <c r="P32" i="16"/>
  <c r="AH31" i="16"/>
  <c r="Y31" i="16"/>
  <c r="P31" i="16"/>
  <c r="AH30" i="16"/>
  <c r="Y30" i="16"/>
  <c r="P30" i="16"/>
  <c r="AH29" i="16"/>
  <c r="Y29" i="16"/>
  <c r="P29" i="16"/>
  <c r="I29" i="16"/>
  <c r="AH28" i="16"/>
  <c r="Y28" i="16"/>
  <c r="P28" i="16"/>
  <c r="AH27" i="16"/>
  <c r="Y27" i="16"/>
  <c r="P27" i="16"/>
  <c r="AH26" i="16"/>
  <c r="Y26" i="16"/>
  <c r="P26" i="16"/>
  <c r="AH25" i="16"/>
  <c r="Y25" i="16"/>
  <c r="P25" i="16"/>
  <c r="AH24" i="16"/>
  <c r="Y24" i="16"/>
  <c r="P24" i="16"/>
  <c r="AH23" i="16"/>
  <c r="Y23" i="16"/>
  <c r="P23" i="16"/>
  <c r="AH22" i="16"/>
  <c r="Y22" i="16"/>
  <c r="P22" i="16"/>
  <c r="AH21" i="16"/>
  <c r="Y21" i="16"/>
  <c r="P21" i="16"/>
  <c r="AH20" i="16"/>
  <c r="Y20" i="16"/>
  <c r="P20" i="16"/>
  <c r="Y19" i="16"/>
  <c r="P19" i="16"/>
  <c r="AH18" i="16"/>
  <c r="Y18" i="16"/>
  <c r="P18" i="16"/>
  <c r="AH17" i="16"/>
  <c r="Y17" i="16"/>
  <c r="P17" i="16"/>
  <c r="AH16" i="16"/>
  <c r="Y16" i="16"/>
  <c r="P16" i="16"/>
  <c r="AH15" i="16"/>
  <c r="Y15" i="16"/>
  <c r="P15" i="16"/>
  <c r="AH14" i="16"/>
  <c r="Y14" i="16"/>
  <c r="P14" i="16"/>
  <c r="AH13" i="16"/>
  <c r="Y13" i="16"/>
  <c r="P13" i="16"/>
  <c r="AH12" i="16"/>
  <c r="Y12" i="16"/>
  <c r="P12" i="16"/>
  <c r="AH11" i="16"/>
  <c r="Y11" i="16"/>
  <c r="P11" i="16"/>
  <c r="AH10" i="16"/>
  <c r="Y10" i="16"/>
  <c r="P10" i="16"/>
  <c r="AH9" i="16"/>
  <c r="Y9" i="16"/>
  <c r="P9" i="16"/>
  <c r="AH8" i="16"/>
  <c r="Y8" i="16"/>
  <c r="P8" i="16"/>
  <c r="AH7" i="16"/>
  <c r="Y7" i="16"/>
  <c r="P7" i="16"/>
  <c r="AH6" i="16"/>
  <c r="Y6" i="16"/>
  <c r="P6" i="16"/>
  <c r="AH5" i="16"/>
  <c r="Y5" i="16"/>
  <c r="P5" i="16"/>
  <c r="AA4" i="16"/>
  <c r="AH4" i="16" s="1"/>
  <c r="Y4" i="16"/>
  <c r="P4" i="16"/>
  <c r="AH3" i="16"/>
  <c r="Y3" i="16"/>
  <c r="P3" i="16"/>
  <c r="AC2" i="16"/>
  <c r="AH2" i="16" s="1"/>
  <c r="T2" i="16"/>
  <c r="Y2" i="16" s="1"/>
  <c r="P2" i="16"/>
  <c r="AH67" i="13"/>
  <c r="T67" i="13"/>
  <c r="Y67" i="13" s="1"/>
  <c r="K67" i="13"/>
  <c r="P67" i="13" s="1"/>
  <c r="AC74" i="13"/>
  <c r="AH74" i="13" s="1"/>
  <c r="T74" i="13"/>
  <c r="Y74" i="13" s="1"/>
  <c r="K74" i="13"/>
  <c r="P74" i="13" s="1"/>
  <c r="I29" i="13"/>
  <c r="AH20" i="13"/>
  <c r="Y20" i="13"/>
  <c r="K20" i="13"/>
  <c r="P20" i="13" s="1"/>
  <c r="AH9" i="13"/>
  <c r="P17" i="13"/>
  <c r="Y17" i="13"/>
  <c r="AH17" i="13"/>
  <c r="AC81" i="13"/>
  <c r="AH81" i="13" s="1"/>
  <c r="AE50" i="13"/>
  <c r="AH50" i="13" s="1"/>
  <c r="AG36" i="13"/>
  <c r="AH36" i="13" s="1"/>
  <c r="AA4" i="13"/>
  <c r="AH4" i="13" s="1"/>
  <c r="AC73" i="13"/>
  <c r="AH73" i="13" s="1"/>
  <c r="AC72" i="13"/>
  <c r="AH72" i="13" s="1"/>
  <c r="AC2" i="13"/>
  <c r="AH2" i="13" s="1"/>
  <c r="AH3" i="13"/>
  <c r="AH5" i="13"/>
  <c r="AH6" i="13"/>
  <c r="AH7" i="13"/>
  <c r="AH8" i="13"/>
  <c r="AH10" i="13"/>
  <c r="AH11" i="13"/>
  <c r="AH12" i="13"/>
  <c r="AH13" i="13"/>
  <c r="AH14" i="13"/>
  <c r="AH15" i="13"/>
  <c r="AH16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18" i="13"/>
  <c r="AH65" i="13"/>
  <c r="AH66" i="13"/>
  <c r="AH68" i="13"/>
  <c r="AH69" i="13"/>
  <c r="AH70" i="13"/>
  <c r="AH71" i="13"/>
  <c r="AH75" i="13"/>
  <c r="AH76" i="13"/>
  <c r="AH77" i="13"/>
  <c r="AH78" i="13"/>
  <c r="AH79" i="13"/>
  <c r="AH80" i="13"/>
  <c r="AH82" i="13"/>
  <c r="AH83" i="13"/>
  <c r="R77" i="13"/>
  <c r="Y77" i="13" s="1"/>
  <c r="T73" i="13"/>
  <c r="Y73" i="13" s="1"/>
  <c r="T72" i="13"/>
  <c r="Y72" i="13" s="1"/>
  <c r="P4" i="13"/>
  <c r="T2" i="13"/>
  <c r="Y2" i="13" s="1"/>
  <c r="Y3" i="13"/>
  <c r="Y4" i="13"/>
  <c r="Y5" i="13"/>
  <c r="Y6" i="13"/>
  <c r="Y7" i="13"/>
  <c r="Y8" i="13"/>
  <c r="Y9" i="13"/>
  <c r="Y10" i="13"/>
  <c r="Y11" i="13"/>
  <c r="Y12" i="13"/>
  <c r="Y13" i="13"/>
  <c r="Y14" i="13"/>
  <c r="Y15" i="13"/>
  <c r="Y16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19" i="13"/>
  <c r="Y62" i="13"/>
  <c r="Y63" i="13"/>
  <c r="Y64" i="13"/>
  <c r="Y18" i="13"/>
  <c r="Y65" i="13"/>
  <c r="Y66" i="13"/>
  <c r="Y68" i="13"/>
  <c r="Y69" i="13"/>
  <c r="Y70" i="13"/>
  <c r="Y71" i="13"/>
  <c r="Y75" i="13"/>
  <c r="Y76" i="13"/>
  <c r="Y78" i="13"/>
  <c r="Y79" i="13"/>
  <c r="Y80" i="13"/>
  <c r="Y81" i="13"/>
  <c r="Y82" i="13"/>
  <c r="Y83" i="13"/>
  <c r="P83" i="13"/>
  <c r="P82" i="13"/>
  <c r="P81" i="13"/>
  <c r="P80" i="13"/>
  <c r="P79" i="13"/>
  <c r="P78" i="13"/>
  <c r="P76" i="13"/>
  <c r="P75" i="13"/>
  <c r="P72" i="13"/>
  <c r="P71" i="13"/>
  <c r="P70" i="13"/>
  <c r="P69" i="13"/>
  <c r="P68" i="13"/>
  <c r="P66" i="13"/>
  <c r="P65" i="13"/>
  <c r="P18" i="13"/>
  <c r="P64" i="13"/>
  <c r="P63" i="13"/>
  <c r="P62" i="13"/>
  <c r="P19" i="13"/>
  <c r="P61" i="13"/>
  <c r="P60" i="13"/>
  <c r="P59" i="13"/>
  <c r="P58" i="13"/>
  <c r="P57" i="13"/>
  <c r="P56" i="13"/>
  <c r="P55" i="13"/>
  <c r="P54" i="13"/>
  <c r="P53" i="13"/>
  <c r="P52" i="13"/>
  <c r="P51" i="13"/>
  <c r="P50" i="13"/>
  <c r="P49" i="13"/>
  <c r="P48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16" i="13"/>
  <c r="P15" i="13"/>
  <c r="P14" i="13"/>
  <c r="P13" i="13"/>
  <c r="P12" i="13"/>
  <c r="P11" i="13"/>
  <c r="P10" i="13"/>
  <c r="P9" i="13"/>
  <c r="P8" i="13"/>
  <c r="P7" i="13"/>
  <c r="P6" i="13"/>
  <c r="P5" i="13"/>
  <c r="P3" i="13"/>
  <c r="P2" i="13"/>
  <c r="I77" i="13"/>
  <c r="P77" i="13" s="1"/>
  <c r="K73" i="13"/>
  <c r="P73" i="13" s="1"/>
  <c r="J47" i="13"/>
  <c r="P47" i="13" s="1"/>
  <c r="N34" i="13"/>
  <c r="P34" i="13" s="1"/>
  <c r="H5" i="6"/>
  <c r="F5" i="6"/>
  <c r="G5" i="6"/>
  <c r="F59" i="2"/>
  <c r="H59" i="2"/>
  <c r="J59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M2" i="2"/>
  <c r="L2" i="2"/>
  <c r="H4" i="3"/>
  <c r="I4" i="3"/>
  <c r="G4" i="3"/>
  <c r="L4" i="3"/>
  <c r="O4" i="3"/>
  <c r="I5" i="3" s="1"/>
  <c r="L5" i="3" s="1"/>
  <c r="K4" i="3"/>
  <c r="N4" i="3" s="1"/>
  <c r="J4" i="3"/>
  <c r="M4" i="3" s="1"/>
  <c r="E29" i="3"/>
  <c r="F29" i="3"/>
  <c r="D29" i="3"/>
  <c r="C10" i="3"/>
  <c r="K51" i="1"/>
  <c r="I51" i="1"/>
  <c r="K50" i="1"/>
  <c r="I50" i="1"/>
  <c r="K49" i="1"/>
  <c r="K48" i="1"/>
  <c r="M48" i="1" s="1"/>
  <c r="K47" i="1"/>
  <c r="I47" i="1"/>
  <c r="I45" i="1"/>
  <c r="K45" i="1"/>
  <c r="K43" i="1"/>
  <c r="M43" i="1" s="1"/>
  <c r="K42" i="1"/>
  <c r="M42" i="1" s="1"/>
  <c r="K41" i="1"/>
  <c r="M41" i="1" s="1"/>
  <c r="K40" i="1"/>
  <c r="M40" i="1" s="1"/>
  <c r="K39" i="1"/>
  <c r="M39" i="1" s="1"/>
  <c r="K38" i="1"/>
  <c r="I38" i="1"/>
  <c r="K36" i="1"/>
  <c r="M36" i="1" s="1"/>
  <c r="K35" i="1"/>
  <c r="K34" i="1"/>
  <c r="K30" i="1"/>
  <c r="I30" i="1"/>
  <c r="I29" i="1"/>
  <c r="M29" i="1" s="1"/>
  <c r="K24" i="1"/>
  <c r="I24" i="1"/>
  <c r="K23" i="1"/>
  <c r="I23" i="1"/>
  <c r="I22" i="1"/>
  <c r="I21" i="1"/>
  <c r="K22" i="1"/>
  <c r="K21" i="1"/>
  <c r="I15" i="1"/>
  <c r="M15" i="1" s="1"/>
  <c r="M16" i="1"/>
  <c r="M17" i="1"/>
  <c r="M18" i="1"/>
  <c r="M19" i="1"/>
  <c r="M20" i="1"/>
  <c r="M25" i="1"/>
  <c r="M26" i="1"/>
  <c r="M27" i="1"/>
  <c r="M28" i="1"/>
  <c r="M31" i="1"/>
  <c r="M32" i="1"/>
  <c r="M33" i="1"/>
  <c r="M37" i="1"/>
  <c r="M44" i="1"/>
  <c r="M46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14" i="1"/>
  <c r="G12" i="1"/>
  <c r="F12" i="1"/>
  <c r="AI67" i="16" l="1"/>
  <c r="AQ79" i="16"/>
  <c r="AK3" i="16"/>
  <c r="AW5" i="16"/>
  <c r="BC6" i="16"/>
  <c r="AI8" i="16"/>
  <c r="BA11" i="16"/>
  <c r="AS15" i="16"/>
  <c r="AY16" i="16"/>
  <c r="AK19" i="16"/>
  <c r="AW21" i="16"/>
  <c r="BC22" i="16"/>
  <c r="AO25" i="16"/>
  <c r="BI28" i="16"/>
  <c r="AY32" i="16"/>
  <c r="BC38" i="16"/>
  <c r="AY48" i="16"/>
  <c r="BA5" i="16"/>
  <c r="BI6" i="16"/>
  <c r="AM8" i="16"/>
  <c r="AY10" i="16"/>
  <c r="BE11" i="16"/>
  <c r="AK13" i="16"/>
  <c r="BC16" i="16"/>
  <c r="BI22" i="16"/>
  <c r="AK29" i="16"/>
  <c r="BI38" i="16"/>
  <c r="AQ3" i="16"/>
  <c r="AS8" i="16"/>
  <c r="AW2" i="16"/>
  <c r="BC3" i="16"/>
  <c r="AI5" i="16"/>
  <c r="AO6" i="16"/>
  <c r="BA8" i="16"/>
  <c r="AM11" i="16"/>
  <c r="AQ17" i="16"/>
  <c r="BC19" i="16"/>
  <c r="AU23" i="16"/>
  <c r="AY2" i="16"/>
  <c r="AK5" i="16"/>
  <c r="AQ6" i="16"/>
  <c r="BC8" i="16"/>
  <c r="AO11" i="16"/>
  <c r="AU12" i="16"/>
  <c r="BA13" i="16"/>
  <c r="AM16" i="16"/>
  <c r="AY18" i="16"/>
  <c r="AQ22" i="16"/>
  <c r="BC24" i="16"/>
  <c r="AO27" i="16"/>
  <c r="AU28" i="16"/>
  <c r="AY34" i="16"/>
  <c r="AQ38" i="16"/>
  <c r="BC40" i="16"/>
  <c r="BI3" i="16"/>
  <c r="AS6" i="16"/>
  <c r="BE8" i="16"/>
  <c r="BE2" i="16"/>
  <c r="AW6" i="16"/>
  <c r="BA12" i="16"/>
  <c r="BI13" i="16"/>
  <c r="AS16" i="16"/>
  <c r="BE18" i="16"/>
  <c r="AI25" i="16"/>
  <c r="BA28" i="16"/>
  <c r="AQ4" i="16"/>
  <c r="AO9" i="16"/>
  <c r="AU26" i="16"/>
  <c r="AS31" i="16"/>
  <c r="AQ36" i="16"/>
  <c r="AW37" i="16"/>
  <c r="AU42" i="16"/>
  <c r="AM46" i="16"/>
  <c r="AS47" i="16"/>
  <c r="AW53" i="16"/>
  <c r="AI56" i="16"/>
  <c r="AU58" i="16"/>
  <c r="BA59" i="16"/>
  <c r="AM62" i="16"/>
  <c r="AS63" i="16"/>
  <c r="AY64" i="16"/>
  <c r="AK67" i="16"/>
  <c r="BC70" i="16"/>
  <c r="AI72" i="16"/>
  <c r="AU74" i="16"/>
  <c r="BA75" i="16"/>
  <c r="AY80" i="16"/>
  <c r="AI29" i="16"/>
  <c r="AI45" i="16"/>
  <c r="AO46" i="16"/>
  <c r="AI61" i="16"/>
  <c r="AK72" i="16"/>
  <c r="AS9" i="16"/>
  <c r="AQ14" i="16"/>
  <c r="AI18" i="16"/>
  <c r="AU20" i="16"/>
  <c r="AY26" i="16"/>
  <c r="AQ30" i="16"/>
  <c r="BC32" i="16"/>
  <c r="AI34" i="16"/>
  <c r="BA37" i="16"/>
  <c r="AM40" i="16"/>
  <c r="AY42" i="16"/>
  <c r="AQ46" i="16"/>
  <c r="AW47" i="16"/>
  <c r="BC48" i="16"/>
  <c r="BA53" i="16"/>
  <c r="AM56" i="16"/>
  <c r="AY58" i="16"/>
  <c r="BE59" i="16"/>
  <c r="AK61" i="16"/>
  <c r="AW63" i="16"/>
  <c r="BC64" i="16"/>
  <c r="AO67" i="16"/>
  <c r="AU68" i="16"/>
  <c r="BA69" i="16"/>
  <c r="AM72" i="16"/>
  <c r="AY74" i="16"/>
  <c r="BE75" i="16"/>
  <c r="AQ78" i="16"/>
  <c r="AW79" i="16"/>
  <c r="BC80" i="16"/>
  <c r="AI82" i="16"/>
  <c r="AO83" i="16"/>
  <c r="AW4" i="16"/>
  <c r="AO8" i="16"/>
  <c r="AU9" i="16"/>
  <c r="BI11" i="16"/>
  <c r="BE16" i="16"/>
  <c r="AK18" i="16"/>
  <c r="AQ19" i="16"/>
  <c r="AU25" i="16"/>
  <c r="AK34" i="16"/>
  <c r="AI39" i="16"/>
  <c r="AM61" i="16"/>
  <c r="AI71" i="16"/>
  <c r="AK82" i="16"/>
  <c r="AM2" i="16"/>
  <c r="AS3" i="16"/>
  <c r="AM34" i="16"/>
  <c r="AK39" i="16"/>
  <c r="AQ40" i="16"/>
  <c r="AI44" i="16"/>
  <c r="AK71" i="16"/>
  <c r="AM82" i="16"/>
  <c r="AY9" i="16"/>
  <c r="AQ13" i="16"/>
  <c r="AW14" i="16"/>
  <c r="AI17" i="16"/>
  <c r="BA20" i="16"/>
  <c r="AK28" i="16"/>
  <c r="AQ29" i="16"/>
  <c r="AW30" i="16"/>
  <c r="AI33" i="16"/>
  <c r="AO34" i="16"/>
  <c r="AM39" i="16"/>
  <c r="AS40" i="16"/>
  <c r="AK44" i="16"/>
  <c r="AM55" i="16"/>
  <c r="AS56" i="16"/>
  <c r="AI65" i="16"/>
  <c r="AU67" i="16"/>
  <c r="AO82" i="16"/>
  <c r="AI22" i="16"/>
  <c r="AM44" i="16"/>
  <c r="AO55" i="16"/>
  <c r="AK22" i="16"/>
  <c r="AQ55" i="16"/>
  <c r="AI64" i="16"/>
  <c r="BI9" i="16"/>
  <c r="AY13" i="16"/>
  <c r="BE14" i="16"/>
  <c r="AK16" i="16"/>
  <c r="AW18" i="16"/>
  <c r="AI21" i="16"/>
  <c r="AO22" i="16"/>
  <c r="BA24" i="16"/>
  <c r="BI25" i="16"/>
  <c r="AM27" i="16"/>
  <c r="AY29" i="16"/>
  <c r="BE30" i="16"/>
  <c r="AK32" i="16"/>
  <c r="AW34" i="16"/>
  <c r="BC35" i="16"/>
  <c r="AI37" i="16"/>
  <c r="AO38" i="16"/>
  <c r="AM43" i="16"/>
  <c r="AS44" i="16"/>
  <c r="AY45" i="16"/>
  <c r="AK48" i="16"/>
  <c r="AI53" i="16"/>
  <c r="BI57" i="16"/>
  <c r="AM59" i="16"/>
  <c r="AS60" i="16"/>
  <c r="AY61" i="16"/>
  <c r="BE62" i="16"/>
  <c r="AK64" i="16"/>
  <c r="AW66" i="16"/>
  <c r="BC67" i="16"/>
  <c r="AI69" i="16"/>
  <c r="BI73" i="16"/>
  <c r="AK80" i="16"/>
  <c r="BI14" i="16"/>
  <c r="AK21" i="16"/>
  <c r="AI26" i="16"/>
  <c r="BA29" i="16"/>
  <c r="BI30" i="16"/>
  <c r="AM32" i="16"/>
  <c r="BE35" i="16"/>
  <c r="AK37" i="16"/>
  <c r="AW39" i="16"/>
  <c r="AI42" i="16"/>
  <c r="BI46" i="16"/>
  <c r="AM48" i="16"/>
  <c r="AK53" i="16"/>
  <c r="AW55" i="16"/>
  <c r="BC56" i="16"/>
  <c r="AI58" i="16"/>
  <c r="AO59" i="16"/>
  <c r="BA61" i="16"/>
  <c r="AM64" i="16"/>
  <c r="AY66" i="16"/>
  <c r="BE67" i="16"/>
  <c r="AK69" i="16"/>
  <c r="AW71" i="16"/>
  <c r="BC72" i="16"/>
  <c r="AI74" i="16"/>
  <c r="BI78" i="16"/>
  <c r="AM80" i="16"/>
  <c r="AS81" i="16"/>
  <c r="AY82" i="16"/>
  <c r="BE83" i="16"/>
  <c r="AI10" i="16"/>
  <c r="AM5" i="16"/>
  <c r="AK10" i="16"/>
  <c r="AQ11" i="16"/>
  <c r="BC13" i="16"/>
  <c r="AI15" i="16"/>
  <c r="AO16" i="16"/>
  <c r="AU17" i="16"/>
  <c r="BI19" i="16"/>
  <c r="AM21" i="16"/>
  <c r="AS22" i="16"/>
  <c r="AQ27" i="16"/>
  <c r="AW28" i="16"/>
  <c r="BC29" i="16"/>
  <c r="AI31" i="16"/>
  <c r="AO32" i="16"/>
  <c r="AU33" i="16"/>
  <c r="AM37" i="16"/>
  <c r="AY39" i="16"/>
  <c r="BE40" i="16"/>
  <c r="AK42" i="16"/>
  <c r="AU49" i="16"/>
  <c r="AM53" i="16"/>
  <c r="AY55" i="16"/>
  <c r="BE56" i="16"/>
  <c r="AK58" i="16"/>
  <c r="AQ59" i="16"/>
  <c r="AU65" i="16"/>
  <c r="BI67" i="16"/>
  <c r="AM69" i="16"/>
  <c r="AY71" i="16"/>
  <c r="BE72" i="16"/>
  <c r="BC77" i="16"/>
  <c r="AI79" i="16"/>
  <c r="AO80" i="16"/>
  <c r="BA82" i="16"/>
  <c r="BE3" i="16"/>
  <c r="AM58" i="16"/>
  <c r="AK79" i="16"/>
  <c r="AQ5" i="16"/>
  <c r="AU11" i="16"/>
  <c r="AM15" i="16"/>
  <c r="AQ21" i="16"/>
  <c r="AW22" i="16"/>
  <c r="AO26" i="16"/>
  <c r="AU27" i="16"/>
  <c r="BI29" i="16"/>
  <c r="AM31" i="16"/>
  <c r="AS32" i="16"/>
  <c r="BE34" i="16"/>
  <c r="AQ37" i="16"/>
  <c r="AW38" i="16"/>
  <c r="BC39" i="16"/>
  <c r="AI41" i="16"/>
  <c r="AO42" i="16"/>
  <c r="AM47" i="16"/>
  <c r="AS48" i="16"/>
  <c r="AQ53" i="16"/>
  <c r="AO58" i="16"/>
  <c r="AU59" i="16"/>
  <c r="AM63" i="16"/>
  <c r="AS64" i="16"/>
  <c r="AK68" i="16"/>
  <c r="AQ69" i="16"/>
  <c r="AW70" i="16"/>
  <c r="AO74" i="16"/>
  <c r="AM79" i="16"/>
  <c r="AS80" i="16"/>
  <c r="AY81" i="16"/>
  <c r="BE82" i="16"/>
  <c r="AK4" i="16"/>
  <c r="AI9" i="16"/>
  <c r="AI14" i="16"/>
  <c r="AK41" i="16"/>
  <c r="AS69" i="16"/>
  <c r="AO79" i="16"/>
  <c r="AS49" i="16"/>
  <c r="AU60" i="16"/>
  <c r="AS65" i="16"/>
  <c r="BA77" i="16"/>
  <c r="BA2" i="16"/>
  <c r="AY7" i="16"/>
  <c r="AW12" i="16"/>
  <c r="BA18" i="16"/>
  <c r="BE24" i="16"/>
  <c r="AS38" i="16"/>
  <c r="AI47" i="16"/>
  <c r="AI63" i="16"/>
  <c r="BC2" i="16"/>
  <c r="AI4" i="16"/>
  <c r="AO5" i="16"/>
  <c r="AU6" i="16"/>
  <c r="BA7" i="16"/>
  <c r="BI8" i="16"/>
  <c r="AM10" i="16"/>
  <c r="AS11" i="16"/>
  <c r="AY12" i="16"/>
  <c r="BE13" i="16"/>
  <c r="AK15" i="16"/>
  <c r="AQ16" i="16"/>
  <c r="AW17" i="16"/>
  <c r="BC18" i="16"/>
  <c r="AI20" i="16"/>
  <c r="AO21" i="16"/>
  <c r="AU22" i="16"/>
  <c r="BA23" i="16"/>
  <c r="BI24" i="16"/>
  <c r="AM26" i="16"/>
  <c r="AS27" i="16"/>
  <c r="AY28" i="16"/>
  <c r="BE29" i="16"/>
  <c r="AK31" i="16"/>
  <c r="AQ32" i="16"/>
  <c r="AW33" i="16"/>
  <c r="BC34" i="16"/>
  <c r="AO37" i="16"/>
  <c r="AU38" i="16"/>
  <c r="BA39" i="16"/>
  <c r="BI40" i="16"/>
  <c r="AM42" i="16"/>
  <c r="AK47" i="16"/>
  <c r="AQ48" i="16"/>
  <c r="AW49" i="16"/>
  <c r="AO53" i="16"/>
  <c r="BA55" i="16"/>
  <c r="BI56" i="16"/>
  <c r="AS59" i="16"/>
  <c r="AY60" i="16"/>
  <c r="BE61" i="16"/>
  <c r="AK63" i="16"/>
  <c r="AQ64" i="16"/>
  <c r="AW65" i="16"/>
  <c r="AI68" i="16"/>
  <c r="AO69" i="16"/>
  <c r="AU70" i="16"/>
  <c r="BI72" i="16"/>
  <c r="AM74" i="16"/>
  <c r="BE77" i="16"/>
  <c r="AQ80" i="16"/>
  <c r="AW81" i="16"/>
  <c r="BC82" i="16"/>
  <c r="BI54" i="16"/>
  <c r="BI70" i="16"/>
  <c r="BG34" i="16"/>
  <c r="BG52" i="16"/>
  <c r="BC7" i="16"/>
  <c r="AO10" i="16"/>
  <c r="AY17" i="16"/>
  <c r="AK20" i="16"/>
  <c r="BI2" i="16"/>
  <c r="AM4" i="16"/>
  <c r="AS5" i="16"/>
  <c r="AY6" i="16"/>
  <c r="BE7" i="16"/>
  <c r="AK9" i="16"/>
  <c r="AQ10" i="16"/>
  <c r="AW11" i="16"/>
  <c r="BC12" i="16"/>
  <c r="AO15" i="16"/>
  <c r="AU16" i="16"/>
  <c r="BA17" i="16"/>
  <c r="AM20" i="16"/>
  <c r="AS21" i="16"/>
  <c r="AY22" i="16"/>
  <c r="BE23" i="16"/>
  <c r="AK25" i="16"/>
  <c r="AQ26" i="16"/>
  <c r="AW27" i="16"/>
  <c r="BC28" i="16"/>
  <c r="AI30" i="16"/>
  <c r="AO31" i="16"/>
  <c r="AU32" i="16"/>
  <c r="BA33" i="16"/>
  <c r="AS37" i="16"/>
  <c r="AY38" i="16"/>
  <c r="BE39" i="16"/>
  <c r="AQ42" i="16"/>
  <c r="AI46" i="16"/>
  <c r="AO47" i="16"/>
  <c r="AU48" i="16"/>
  <c r="BA49" i="16"/>
  <c r="AS53" i="16"/>
  <c r="BE55" i="16"/>
  <c r="AK57" i="16"/>
  <c r="AQ58" i="16"/>
  <c r="AW59" i="16"/>
  <c r="BC60" i="16"/>
  <c r="AI62" i="16"/>
  <c r="AO63" i="16"/>
  <c r="AU64" i="16"/>
  <c r="BA65" i="16"/>
  <c r="AM68" i="16"/>
  <c r="AY70" i="16"/>
  <c r="AK73" i="16"/>
  <c r="AQ74" i="16"/>
  <c r="BC76" i="16"/>
  <c r="AI78" i="16"/>
  <c r="AU80" i="16"/>
  <c r="BA81" i="16"/>
  <c r="BI82" i="16"/>
  <c r="BC23" i="16"/>
  <c r="AY33" i="16"/>
  <c r="BI45" i="16"/>
  <c r="AY49" i="16"/>
  <c r="BC55" i="16"/>
  <c r="AI57" i="16"/>
  <c r="BA60" i="16"/>
  <c r="BI61" i="16"/>
  <c r="AY65" i="16"/>
  <c r="AI73" i="16"/>
  <c r="BA76" i="16"/>
  <c r="AI3" i="16"/>
  <c r="AO4" i="16"/>
  <c r="AU5" i="16"/>
  <c r="BA6" i="16"/>
  <c r="BI7" i="16"/>
  <c r="AM9" i="16"/>
  <c r="AS10" i="16"/>
  <c r="AY11" i="16"/>
  <c r="BE12" i="16"/>
  <c r="AK14" i="16"/>
  <c r="AQ15" i="16"/>
  <c r="AW16" i="16"/>
  <c r="BC17" i="16"/>
  <c r="AI19" i="16"/>
  <c r="AO20" i="16"/>
  <c r="AU21" i="16"/>
  <c r="BA22" i="16"/>
  <c r="BI23" i="16"/>
  <c r="AM25" i="16"/>
  <c r="AS26" i="16"/>
  <c r="AY27" i="16"/>
  <c r="BE28" i="16"/>
  <c r="AK30" i="16"/>
  <c r="AQ31" i="16"/>
  <c r="AW32" i="16"/>
  <c r="BC33" i="16"/>
  <c r="AO36" i="16"/>
  <c r="AU37" i="16"/>
  <c r="BA38" i="16"/>
  <c r="BI39" i="16"/>
  <c r="AM41" i="16"/>
  <c r="AS42" i="16"/>
  <c r="AK46" i="16"/>
  <c r="AQ47" i="16"/>
  <c r="AW48" i="16"/>
  <c r="BC49" i="16"/>
  <c r="AU53" i="16"/>
  <c r="AM57" i="16"/>
  <c r="AS58" i="16"/>
  <c r="AY59" i="16"/>
  <c r="BE60" i="16"/>
  <c r="AK62" i="16"/>
  <c r="AQ63" i="16"/>
  <c r="AW64" i="16"/>
  <c r="BC65" i="16"/>
  <c r="AO68" i="16"/>
  <c r="AU69" i="16"/>
  <c r="BA70" i="16"/>
  <c r="AM73" i="16"/>
  <c r="AS74" i="16"/>
  <c r="BE76" i="16"/>
  <c r="AK78" i="16"/>
  <c r="AW80" i="16"/>
  <c r="BC81" i="16"/>
  <c r="AI83" i="16"/>
  <c r="BG51" i="16"/>
  <c r="BG55" i="16"/>
  <c r="AW23" i="16"/>
  <c r="AU10" i="16"/>
  <c r="BI12" i="16"/>
  <c r="BE17" i="16"/>
  <c r="AQ20" i="16"/>
  <c r="AI24" i="16"/>
  <c r="AM30" i="16"/>
  <c r="BI60" i="16"/>
  <c r="BE65" i="16"/>
  <c r="AQ68" i="16"/>
  <c r="AW69" i="16"/>
  <c r="AO73" i="16"/>
  <c r="AM78" i="16"/>
  <c r="AS79" i="16"/>
  <c r="AK83" i="16"/>
  <c r="BG53" i="16"/>
  <c r="BG66" i="16"/>
  <c r="BG77" i="16"/>
  <c r="AM14" i="16"/>
  <c r="BE33" i="16"/>
  <c r="AI40" i="16"/>
  <c r="BE49" i="16"/>
  <c r="AO57" i="16"/>
  <c r="BE81" i="16"/>
  <c r="AM3" i="16"/>
  <c r="AS4" i="16"/>
  <c r="AY5" i="16"/>
  <c r="BE6" i="16"/>
  <c r="AK8" i="16"/>
  <c r="AQ9" i="16"/>
  <c r="AW10" i="16"/>
  <c r="BC11" i="16"/>
  <c r="AI13" i="16"/>
  <c r="AO14" i="16"/>
  <c r="AU15" i="16"/>
  <c r="BA16" i="16"/>
  <c r="BI17" i="16"/>
  <c r="AS20" i="16"/>
  <c r="AY21" i="16"/>
  <c r="BE22" i="16"/>
  <c r="AK24" i="16"/>
  <c r="AQ25" i="16"/>
  <c r="AW26" i="16"/>
  <c r="AO30" i="16"/>
  <c r="AU31" i="16"/>
  <c r="BA32" i="16"/>
  <c r="BI33" i="16"/>
  <c r="AS36" i="16"/>
  <c r="AY37" i="16"/>
  <c r="BE38" i="16"/>
  <c r="AK40" i="16"/>
  <c r="AW42" i="16"/>
  <c r="AU47" i="16"/>
  <c r="BA48" i="16"/>
  <c r="AY53" i="16"/>
  <c r="AK56" i="16"/>
  <c r="AQ57" i="16"/>
  <c r="AW58" i="16"/>
  <c r="BC59" i="16"/>
  <c r="AO62" i="16"/>
  <c r="AU63" i="16"/>
  <c r="BA64" i="16"/>
  <c r="BI65" i="16"/>
  <c r="AM67" i="16"/>
  <c r="AS68" i="16"/>
  <c r="AY69" i="16"/>
  <c r="BE70" i="16"/>
  <c r="AQ73" i="16"/>
  <c r="AW74" i="16"/>
  <c r="BC75" i="16"/>
  <c r="AO78" i="16"/>
  <c r="AU79" i="16"/>
  <c r="BA80" i="16"/>
  <c r="BI81" i="16"/>
  <c r="AM83" i="16"/>
  <c r="BG50" i="16"/>
  <c r="BG35" i="16"/>
  <c r="BG44" i="16"/>
  <c r="AW7" i="16"/>
  <c r="AS17" i="16"/>
  <c r="AK2" i="16"/>
  <c r="BC5" i="16"/>
  <c r="AI7" i="16"/>
  <c r="BA10" i="16"/>
  <c r="AM13" i="16"/>
  <c r="AS14" i="16"/>
  <c r="AY15" i="16"/>
  <c r="AW20" i="16"/>
  <c r="BC21" i="16"/>
  <c r="AI23" i="16"/>
  <c r="AO24" i="16"/>
  <c r="BI27" i="16"/>
  <c r="AM29" i="16"/>
  <c r="AS30" i="16"/>
  <c r="AY31" i="16"/>
  <c r="BE32" i="16"/>
  <c r="AQ35" i="16"/>
  <c r="AW36" i="16"/>
  <c r="BC37" i="16"/>
  <c r="AO40" i="16"/>
  <c r="AM45" i="16"/>
  <c r="AS46" i="16"/>
  <c r="AY47" i="16"/>
  <c r="BE48" i="16"/>
  <c r="BC53" i="16"/>
  <c r="AI55" i="16"/>
  <c r="AO56" i="16"/>
  <c r="AU57" i="16"/>
  <c r="BA58" i="16"/>
  <c r="BI59" i="16"/>
  <c r="AS62" i="16"/>
  <c r="AY63" i="16"/>
  <c r="BE64" i="16"/>
  <c r="AK66" i="16"/>
  <c r="AQ67" i="16"/>
  <c r="AW68" i="16"/>
  <c r="BC69" i="16"/>
  <c r="AO72" i="16"/>
  <c r="AU73" i="16"/>
  <c r="AS78" i="16"/>
  <c r="AY79" i="16"/>
  <c r="BE80" i="16"/>
  <c r="AQ83" i="16"/>
  <c r="BG49" i="16"/>
  <c r="AI2" i="16"/>
  <c r="AW31" i="16"/>
  <c r="AY4" i="16"/>
  <c r="BE5" i="16"/>
  <c r="AK7" i="16"/>
  <c r="AQ8" i="16"/>
  <c r="AW9" i="16"/>
  <c r="BC10" i="16"/>
  <c r="AI12" i="16"/>
  <c r="AO13" i="16"/>
  <c r="AU14" i="16"/>
  <c r="BA15" i="16"/>
  <c r="AM18" i="16"/>
  <c r="AY20" i="16"/>
  <c r="BE21" i="16"/>
  <c r="AK23" i="16"/>
  <c r="AQ24" i="16"/>
  <c r="AW25" i="16"/>
  <c r="AI28" i="16"/>
  <c r="AO29" i="16"/>
  <c r="AU30" i="16"/>
  <c r="BA31" i="16"/>
  <c r="BI32" i="16"/>
  <c r="AS35" i="16"/>
  <c r="AY36" i="16"/>
  <c r="BE37" i="16"/>
  <c r="AO45" i="16"/>
  <c r="AU46" i="16"/>
  <c r="BI48" i="16"/>
  <c r="BE53" i="16"/>
  <c r="AK55" i="16"/>
  <c r="AQ56" i="16"/>
  <c r="AW57" i="16"/>
  <c r="BC58" i="16"/>
  <c r="AI60" i="16"/>
  <c r="AO61" i="16"/>
  <c r="AU62" i="16"/>
  <c r="BA63" i="16"/>
  <c r="BI64" i="16"/>
  <c r="AM66" i="16"/>
  <c r="AS67" i="16"/>
  <c r="AY68" i="16"/>
  <c r="BE69" i="16"/>
  <c r="AQ72" i="16"/>
  <c r="AW73" i="16"/>
  <c r="AU78" i="16"/>
  <c r="BA79" i="16"/>
  <c r="BI80" i="16"/>
  <c r="AS83" i="16"/>
  <c r="BG16" i="16"/>
  <c r="BG58" i="16"/>
  <c r="AW15" i="16"/>
  <c r="AS25" i="16"/>
  <c r="AO35" i="16"/>
  <c r="AQ62" i="16"/>
  <c r="AM7" i="16"/>
  <c r="AU19" i="16"/>
  <c r="BI21" i="16"/>
  <c r="AM23" i="16"/>
  <c r="AS24" i="16"/>
  <c r="AY25" i="16"/>
  <c r="BC31" i="16"/>
  <c r="AU35" i="16"/>
  <c r="BA36" i="16"/>
  <c r="BI37" i="16"/>
  <c r="AQ45" i="16"/>
  <c r="AW46" i="16"/>
  <c r="AY57" i="16"/>
  <c r="BE58" i="16"/>
  <c r="AK60" i="16"/>
  <c r="AQ61" i="16"/>
  <c r="AW62" i="16"/>
  <c r="BC63" i="16"/>
  <c r="AO66" i="16"/>
  <c r="BA68" i="16"/>
  <c r="BI69" i="16"/>
  <c r="AM71" i="16"/>
  <c r="AS72" i="16"/>
  <c r="AY73" i="16"/>
  <c r="AW78" i="16"/>
  <c r="BC79" i="16"/>
  <c r="AI81" i="16"/>
  <c r="AU83" i="16"/>
  <c r="BG71" i="16"/>
  <c r="BG76" i="16"/>
  <c r="AO3" i="16"/>
  <c r="BA21" i="16"/>
  <c r="AO2" i="16"/>
  <c r="BI5" i="16"/>
  <c r="AK12" i="16"/>
  <c r="AQ2" i="16"/>
  <c r="AW3" i="16"/>
  <c r="BC4" i="16"/>
  <c r="AI6" i="16"/>
  <c r="AO7" i="16"/>
  <c r="AU8" i="16"/>
  <c r="BA9" i="16"/>
  <c r="BI10" i="16"/>
  <c r="AM12" i="16"/>
  <c r="AS13" i="16"/>
  <c r="AY14" i="16"/>
  <c r="BE15" i="16"/>
  <c r="AK17" i="16"/>
  <c r="AQ18" i="16"/>
  <c r="AW19" i="16"/>
  <c r="BC20" i="16"/>
  <c r="AO23" i="16"/>
  <c r="AU24" i="16"/>
  <c r="BA25" i="16"/>
  <c r="BI26" i="16"/>
  <c r="AM28" i="16"/>
  <c r="AS29" i="16"/>
  <c r="AY30" i="16"/>
  <c r="BE31" i="16"/>
  <c r="AK33" i="16"/>
  <c r="AQ34" i="16"/>
  <c r="AW35" i="16"/>
  <c r="BC36" i="16"/>
  <c r="AI38" i="16"/>
  <c r="AO39" i="16"/>
  <c r="AU40" i="16"/>
  <c r="BI42" i="16"/>
  <c r="AS45" i="16"/>
  <c r="AY46" i="16"/>
  <c r="AI54" i="16"/>
  <c r="AU56" i="16"/>
  <c r="BA57" i="16"/>
  <c r="AM60" i="16"/>
  <c r="AS61" i="16"/>
  <c r="AY62" i="16"/>
  <c r="BE63" i="16"/>
  <c r="AK65" i="16"/>
  <c r="AQ66" i="16"/>
  <c r="AW67" i="16"/>
  <c r="BC68" i="16"/>
  <c r="AU72" i="16"/>
  <c r="BI74" i="16"/>
  <c r="AY78" i="16"/>
  <c r="BE79" i="16"/>
  <c r="AK81" i="16"/>
  <c r="AQ82" i="16"/>
  <c r="AW83" i="16"/>
  <c r="AU4" i="16"/>
  <c r="AS73" i="16"/>
  <c r="AU3" i="16"/>
  <c r="BE10" i="16"/>
  <c r="BC15" i="16"/>
  <c r="AO18" i="16"/>
  <c r="AS2" i="16"/>
  <c r="AY3" i="16"/>
  <c r="BE4" i="16"/>
  <c r="AK6" i="16"/>
  <c r="AQ7" i="16"/>
  <c r="AW8" i="16"/>
  <c r="BC9" i="16"/>
  <c r="AI11" i="16"/>
  <c r="AO12" i="16"/>
  <c r="AU13" i="16"/>
  <c r="BA14" i="16"/>
  <c r="BI15" i="16"/>
  <c r="AM17" i="16"/>
  <c r="AS18" i="16"/>
  <c r="BE20" i="16"/>
  <c r="AQ23" i="16"/>
  <c r="AW24" i="16"/>
  <c r="BC25" i="16"/>
  <c r="AI27" i="16"/>
  <c r="AU29" i="16"/>
  <c r="BA30" i="16"/>
  <c r="BI31" i="16"/>
  <c r="AM33" i="16"/>
  <c r="AS34" i="16"/>
  <c r="AY35" i="16"/>
  <c r="BE36" i="16"/>
  <c r="AK38" i="16"/>
  <c r="AQ39" i="16"/>
  <c r="AW40" i="16"/>
  <c r="AI43" i="16"/>
  <c r="AO44" i="16"/>
  <c r="AU45" i="16"/>
  <c r="BI47" i="16"/>
  <c r="AK54" i="16"/>
  <c r="AW56" i="16"/>
  <c r="BC57" i="16"/>
  <c r="AI59" i="16"/>
  <c r="AO60" i="16"/>
  <c r="AU61" i="16"/>
  <c r="BA62" i="16"/>
  <c r="BI63" i="16"/>
  <c r="AM65" i="16"/>
  <c r="AS66" i="16"/>
  <c r="AY67" i="16"/>
  <c r="BE68" i="16"/>
  <c r="AW72" i="16"/>
  <c r="BA78" i="16"/>
  <c r="BI79" i="16"/>
  <c r="AM81" i="16"/>
  <c r="AS82" i="16"/>
  <c r="AY83" i="16"/>
  <c r="BG36" i="16"/>
  <c r="BG41" i="16"/>
  <c r="BG43" i="16"/>
  <c r="AO19" i="16"/>
  <c r="AM24" i="16"/>
  <c r="AU36" i="16"/>
  <c r="AK45" i="16"/>
  <c r="AS57" i="16"/>
  <c r="AI66" i="16"/>
  <c r="BA4" i="16"/>
  <c r="AU2" i="16"/>
  <c r="BA3" i="16"/>
  <c r="BI4" i="16"/>
  <c r="AM6" i="16"/>
  <c r="AS7" i="16"/>
  <c r="AY8" i="16"/>
  <c r="BE9" i="16"/>
  <c r="AK11" i="16"/>
  <c r="AQ12" i="16"/>
  <c r="AW13" i="16"/>
  <c r="BC14" i="16"/>
  <c r="AI16" i="16"/>
  <c r="AO17" i="16"/>
  <c r="AU18" i="16"/>
  <c r="BA19" i="16"/>
  <c r="BI20" i="16"/>
  <c r="AM22" i="16"/>
  <c r="AS23" i="16"/>
  <c r="AY24" i="16"/>
  <c r="BE25" i="16"/>
  <c r="AK27" i="16"/>
  <c r="AW29" i="16"/>
  <c r="BC30" i="16"/>
  <c r="AI32" i="16"/>
  <c r="AU34" i="16"/>
  <c r="BA35" i="16"/>
  <c r="AM38" i="16"/>
  <c r="AS39" i="16"/>
  <c r="AY40" i="16"/>
  <c r="AK43" i="16"/>
  <c r="AQ44" i="16"/>
  <c r="AW45" i="16"/>
  <c r="AI48" i="16"/>
  <c r="AO49" i="16"/>
  <c r="AM54" i="16"/>
  <c r="AS55" i="16"/>
  <c r="AY56" i="16"/>
  <c r="BE57" i="16"/>
  <c r="AK59" i="16"/>
  <c r="AQ60" i="16"/>
  <c r="AW61" i="16"/>
  <c r="BC62" i="16"/>
  <c r="AO65" i="16"/>
  <c r="AU66" i="16"/>
  <c r="BA67" i="16"/>
  <c r="BI68" i="16"/>
  <c r="AY72" i="16"/>
  <c r="BC78" i="16"/>
  <c r="AI80" i="16"/>
  <c r="AO81" i="16"/>
  <c r="AU82" i="16"/>
  <c r="BA83" i="16"/>
  <c r="BG18" i="16"/>
  <c r="AU7" i="16"/>
  <c r="AS12" i="16"/>
  <c r="AU39" i="16"/>
  <c r="BA40" i="16"/>
  <c r="AQ49" i="16"/>
  <c r="AU55" i="16"/>
  <c r="BA56" i="16"/>
  <c r="AQ65" i="16"/>
  <c r="AU71" i="16"/>
  <c r="BA72" i="16"/>
  <c r="BE78" i="16"/>
  <c r="AQ81" i="16"/>
  <c r="AW82" i="16"/>
  <c r="BC83" i="16"/>
  <c r="BG62" i="16"/>
  <c r="BG75" i="16"/>
  <c r="AY23" i="16"/>
  <c r="AK26" i="16"/>
  <c r="BA34" i="16"/>
  <c r="AO48" i="16"/>
  <c r="AW60" i="16"/>
  <c r="BC61" i="16"/>
  <c r="AO64" i="16"/>
  <c r="AK74" i="16"/>
  <c r="AU81" i="16"/>
  <c r="BI83" i="16"/>
  <c r="BG83" i="16"/>
  <c r="BG82" i="16"/>
  <c r="BG81" i="16"/>
  <c r="BG80" i="16"/>
  <c r="BG79" i="16"/>
  <c r="BG78" i="16"/>
  <c r="BG74" i="16"/>
  <c r="BG73" i="16"/>
  <c r="BG72" i="16"/>
  <c r="BG69" i="16"/>
  <c r="BG68" i="16"/>
  <c r="BG67" i="16"/>
  <c r="BG65" i="16"/>
  <c r="BG64" i="16"/>
  <c r="BG63" i="16"/>
  <c r="BG61" i="16"/>
  <c r="BG60" i="16"/>
  <c r="BG59" i="16"/>
  <c r="BG57" i="16"/>
  <c r="BG56" i="16"/>
  <c r="BG48" i="16"/>
  <c r="BG47" i="16"/>
  <c r="BG46" i="16"/>
  <c r="BG45" i="16"/>
  <c r="BG42" i="16"/>
  <c r="BG40" i="16"/>
  <c r="BG39" i="16"/>
  <c r="BG38" i="16"/>
  <c r="BG37" i="16"/>
  <c r="BG33" i="16"/>
  <c r="BG32" i="16"/>
  <c r="BG31" i="16"/>
  <c r="BG30" i="16"/>
  <c r="BG29" i="16"/>
  <c r="BG28" i="16"/>
  <c r="BG27" i="16"/>
  <c r="BG26" i="16"/>
  <c r="BG25" i="16"/>
  <c r="BG24" i="16"/>
  <c r="BG23" i="16"/>
  <c r="BG22" i="16"/>
  <c r="BG21" i="16"/>
  <c r="BG20" i="16"/>
  <c r="BG19" i="16"/>
  <c r="BG17" i="16"/>
  <c r="BG15" i="16"/>
  <c r="BG14" i="16"/>
  <c r="BG13" i="16"/>
  <c r="BG12" i="16"/>
  <c r="BG11" i="16"/>
  <c r="BG10" i="16"/>
  <c r="BG9" i="16"/>
  <c r="BG8" i="16"/>
  <c r="BG7" i="16"/>
  <c r="BG6" i="16"/>
  <c r="BG5" i="16"/>
  <c r="BG4" i="16"/>
  <c r="BG3" i="16"/>
  <c r="BG2" i="16"/>
  <c r="P84" i="16"/>
  <c r="Y84" i="16"/>
  <c r="AH84" i="16"/>
  <c r="AH84" i="13"/>
  <c r="M45" i="1"/>
  <c r="K72" i="1"/>
  <c r="M38" i="1"/>
  <c r="Y84" i="13"/>
  <c r="P84" i="13"/>
  <c r="H5" i="3"/>
  <c r="K5" i="3" s="1"/>
  <c r="N5" i="3" s="1"/>
  <c r="H6" i="3" s="1"/>
  <c r="G5" i="3"/>
  <c r="J5" i="3" s="1"/>
  <c r="O5" i="3"/>
  <c r="I6" i="3" s="1"/>
  <c r="L6" i="3" s="1"/>
  <c r="I72" i="1"/>
  <c r="I73" i="1" s="1"/>
  <c r="M24" i="1"/>
  <c r="M47" i="1"/>
  <c r="M30" i="1"/>
  <c r="M23" i="1"/>
  <c r="M51" i="1"/>
  <c r="M35" i="1"/>
  <c r="M22" i="1"/>
  <c r="M50" i="1"/>
  <c r="M49" i="1"/>
  <c r="M34" i="1"/>
  <c r="K73" i="1"/>
  <c r="M21" i="1"/>
  <c r="G11" i="1"/>
  <c r="M5" i="3" l="1"/>
  <c r="G6" i="3" s="1"/>
  <c r="J6" i="3" s="1"/>
  <c r="O6" i="3"/>
  <c r="I7" i="3" s="1"/>
  <c r="K6" i="3"/>
  <c r="N6" i="3" s="1"/>
  <c r="H7" i="3" s="1"/>
  <c r="M72" i="1"/>
  <c r="M73" i="1" s="1"/>
  <c r="M6" i="3" l="1"/>
  <c r="L7" i="3"/>
  <c r="O7" i="3" s="1"/>
  <c r="K7" i="3"/>
  <c r="N7" i="3" s="1"/>
  <c r="H8" i="3" s="1"/>
  <c r="I8" i="3" l="1"/>
  <c r="L8" i="3" s="1"/>
  <c r="O8" i="3" s="1"/>
  <c r="G7" i="3"/>
  <c r="J7" i="3" s="1"/>
  <c r="M7" i="3" s="1"/>
  <c r="G8" i="3" s="1"/>
  <c r="J8" i="3" s="1"/>
  <c r="M8" i="3" s="1"/>
  <c r="G9" i="3" s="1"/>
  <c r="K8" i="3"/>
  <c r="N8" i="3" s="1"/>
  <c r="H9" i="3" s="1"/>
  <c r="I9" i="3" l="1"/>
  <c r="L9" i="3" s="1"/>
  <c r="O9" i="3" s="1"/>
  <c r="I10" i="3" s="1"/>
  <c r="K9" i="3"/>
  <c r="N9" i="3" s="1"/>
  <c r="H10" i="3" s="1"/>
  <c r="J9" i="3"/>
  <c r="M9" i="3" s="1"/>
  <c r="G10" i="3" s="1"/>
  <c r="L10" i="3" l="1"/>
  <c r="O10" i="3" s="1"/>
  <c r="J10" i="3"/>
  <c r="M10" i="3" s="1"/>
  <c r="G11" i="3" s="1"/>
  <c r="K10" i="3"/>
  <c r="N10" i="3" s="1"/>
  <c r="H11" i="3" s="1"/>
  <c r="I11" i="3" l="1"/>
  <c r="L11" i="3" s="1"/>
  <c r="O11" i="3" s="1"/>
  <c r="K11" i="3"/>
  <c r="N11" i="3" s="1"/>
  <c r="H12" i="3" s="1"/>
  <c r="J11" i="3"/>
  <c r="M11" i="3" s="1"/>
  <c r="G12" i="3" s="1"/>
  <c r="I12" i="3" l="1"/>
  <c r="L12" i="3" s="1"/>
  <c r="O12" i="3" s="1"/>
  <c r="J12" i="3"/>
  <c r="M12" i="3" s="1"/>
  <c r="G13" i="3" s="1"/>
  <c r="K12" i="3"/>
  <c r="N12" i="3" s="1"/>
  <c r="H13" i="3" s="1"/>
  <c r="I13" i="3" l="1"/>
  <c r="L13" i="3" s="1"/>
  <c r="O13" i="3" s="1"/>
  <c r="K13" i="3"/>
  <c r="N13" i="3" s="1"/>
  <c r="H14" i="3" s="1"/>
  <c r="J13" i="3"/>
  <c r="M13" i="3" s="1"/>
  <c r="G14" i="3" s="1"/>
  <c r="I14" i="3" l="1"/>
  <c r="J14" i="3"/>
  <c r="M14" i="3" s="1"/>
  <c r="G15" i="3" s="1"/>
  <c r="K14" i="3"/>
  <c r="N14" i="3" s="1"/>
  <c r="H15" i="3" s="1"/>
  <c r="L14" i="3" l="1"/>
  <c r="O14" i="3" s="1"/>
  <c r="I15" i="3" s="1"/>
  <c r="L15" i="3" s="1"/>
  <c r="O15" i="3" s="1"/>
  <c r="J15" i="3"/>
  <c r="M15" i="3" s="1"/>
  <c r="G16" i="3" s="1"/>
  <c r="K15" i="3"/>
  <c r="N15" i="3" s="1"/>
  <c r="H16" i="3" s="1"/>
  <c r="I16" i="3" l="1"/>
  <c r="L16" i="3" s="1"/>
  <c r="O16" i="3" s="1"/>
  <c r="K16" i="3"/>
  <c r="N16" i="3" s="1"/>
  <c r="H17" i="3" s="1"/>
  <c r="J16" i="3"/>
  <c r="M16" i="3" s="1"/>
  <c r="G17" i="3" s="1"/>
  <c r="I17" i="3" l="1"/>
  <c r="L17" i="3" s="1"/>
  <c r="O17" i="3" s="1"/>
  <c r="J17" i="3"/>
  <c r="M17" i="3" s="1"/>
  <c r="G18" i="3" s="1"/>
  <c r="K17" i="3"/>
  <c r="N17" i="3" s="1"/>
  <c r="H18" i="3" s="1"/>
  <c r="I18" i="3" l="1"/>
  <c r="L18" i="3" s="1"/>
  <c r="O18" i="3" s="1"/>
  <c r="K18" i="3"/>
  <c r="N18" i="3" s="1"/>
  <c r="H19" i="3" s="1"/>
  <c r="J18" i="3"/>
  <c r="M18" i="3" s="1"/>
  <c r="G19" i="3" s="1"/>
  <c r="I19" i="3" l="1"/>
  <c r="L19" i="3" s="1"/>
  <c r="J19" i="3"/>
  <c r="M19" i="3" s="1"/>
  <c r="G20" i="3" s="1"/>
  <c r="K19" i="3"/>
  <c r="N19" i="3" s="1"/>
  <c r="H20" i="3" s="1"/>
  <c r="O19" i="3" l="1"/>
  <c r="K20" i="3"/>
  <c r="N20" i="3" s="1"/>
  <c r="H21" i="3" s="1"/>
  <c r="J20" i="3"/>
  <c r="M20" i="3" s="1"/>
  <c r="G21" i="3" s="1"/>
  <c r="I20" i="3" l="1"/>
  <c r="J21" i="3"/>
  <c r="M21" i="3" s="1"/>
  <c r="G22" i="3" s="1"/>
  <c r="K21" i="3"/>
  <c r="N21" i="3" s="1"/>
  <c r="H22" i="3" s="1"/>
  <c r="L20" i="3" l="1"/>
  <c r="O20" i="3" s="1"/>
  <c r="K22" i="3"/>
  <c r="N22" i="3" s="1"/>
  <c r="H23" i="3" s="1"/>
  <c r="J22" i="3"/>
  <c r="M22" i="3" s="1"/>
  <c r="G23" i="3" s="1"/>
  <c r="I21" i="3" l="1"/>
  <c r="J23" i="3"/>
  <c r="M23" i="3" s="1"/>
  <c r="K23" i="3"/>
  <c r="N23" i="3" s="1"/>
  <c r="L21" i="3" l="1"/>
  <c r="O21" i="3" s="1"/>
  <c r="I22" i="3" l="1"/>
  <c r="L22" i="3" l="1"/>
  <c r="O22" i="3" s="1"/>
  <c r="I23" i="3" s="1"/>
  <c r="L23" i="3" s="1"/>
  <c r="O2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Kyungho Suh</author>
  </authors>
  <commentList>
    <comment ref="H1" authorId="0" shapeId="0" xr:uid="{CE1954E5-E2C3-4DF0-9968-AACF38892C7B}">
      <text>
        <r>
          <rPr>
            <b/>
            <sz val="9"/>
            <color indexed="81"/>
            <rFont val="Tahoma"/>
            <family val="2"/>
          </rPr>
          <t xml:space="preserve">1=CAPEX              : </t>
        </r>
        <r>
          <rPr>
            <b/>
            <sz val="9"/>
            <color indexed="81"/>
            <rFont val="돋움체"/>
            <family val="3"/>
            <charset val="129"/>
          </rPr>
          <t>가격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내용연수</t>
        </r>
        <r>
          <rPr>
            <b/>
            <sz val="9"/>
            <color indexed="81"/>
            <rFont val="Tahoma"/>
            <family val="2"/>
          </rPr>
          <t xml:space="preserve">/12
2=OPEX               : </t>
        </r>
        <r>
          <rPr>
            <b/>
            <sz val="9"/>
            <color indexed="81"/>
            <rFont val="돋움체"/>
            <family val="3"/>
            <charset val="129"/>
          </rPr>
          <t>사용빈도시간</t>
        </r>
        <r>
          <rPr>
            <b/>
            <sz val="9"/>
            <color indexed="81"/>
            <rFont val="Tahoma"/>
            <family val="2"/>
          </rPr>
          <t xml:space="preserve"> x </t>
        </r>
        <r>
          <rPr>
            <b/>
            <sz val="9"/>
            <color indexed="81"/>
            <rFont val="돋움체"/>
            <family val="3"/>
            <charset val="129"/>
          </rPr>
          <t>사용량</t>
        </r>
        <r>
          <rPr>
            <b/>
            <sz val="9"/>
            <color indexed="81"/>
            <rFont val="Tahoma"/>
            <family val="2"/>
          </rPr>
          <t xml:space="preserve"> x </t>
        </r>
        <r>
          <rPr>
            <b/>
            <sz val="9"/>
            <color indexed="81"/>
            <rFont val="돋움체"/>
            <family val="3"/>
            <charset val="129"/>
          </rPr>
          <t xml:space="preserve">단가
</t>
        </r>
        <r>
          <rPr>
            <b/>
            <sz val="9"/>
            <color indexed="81"/>
            <rFont val="Tahoma"/>
            <family val="2"/>
          </rPr>
          <t xml:space="preserve">3=Consumable         : </t>
        </r>
        <r>
          <rPr>
            <b/>
            <sz val="9"/>
            <color indexed="81"/>
            <rFont val="돋움체"/>
            <family val="3"/>
            <charset val="129"/>
          </rPr>
          <t>소모품가격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소모품내용연수</t>
        </r>
        <r>
          <rPr>
            <b/>
            <sz val="9"/>
            <color indexed="81"/>
            <rFont val="Tahoma"/>
            <family val="2"/>
          </rPr>
          <t>/12
4=CAPEX+OPEX         : 1+2
5=CAPEX+Consumable   : 1+3
6=OPEX+Consumable    : 2+3
[</t>
        </r>
        <r>
          <rPr>
            <b/>
            <sz val="9"/>
            <color indexed="81"/>
            <rFont val="돋움체"/>
            <family val="3"/>
            <charset val="129"/>
          </rPr>
          <t>사용빈도시간</t>
        </r>
        <r>
          <rPr>
            <b/>
            <sz val="9"/>
            <color indexed="81"/>
            <rFont val="Tahoma"/>
            <family val="2"/>
          </rPr>
          <t xml:space="preserve">] </t>
        </r>
        <r>
          <rPr>
            <b/>
            <sz val="9"/>
            <color indexed="81"/>
            <rFont val="돋움체"/>
            <family val="3"/>
            <charset val="129"/>
          </rPr>
          <t>횟수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Kyungho Suh</author>
  </authors>
  <commentList>
    <comment ref="H1" authorId="0" shapeId="0" xr:uid="{509D3F09-BCC7-477F-86C9-7394FF4DB4D0}">
      <text>
        <r>
          <rPr>
            <b/>
            <sz val="9"/>
            <color indexed="81"/>
            <rFont val="Tahoma"/>
            <family val="2"/>
          </rPr>
          <t xml:space="preserve">1=CAPEX              : </t>
        </r>
        <r>
          <rPr>
            <b/>
            <sz val="9"/>
            <color indexed="81"/>
            <rFont val="돋움체"/>
            <family val="3"/>
            <charset val="129"/>
          </rPr>
          <t>가격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내용연수</t>
        </r>
        <r>
          <rPr>
            <b/>
            <sz val="9"/>
            <color indexed="81"/>
            <rFont val="Tahoma"/>
            <family val="2"/>
          </rPr>
          <t xml:space="preserve">/12
2=OPEX               : </t>
        </r>
        <r>
          <rPr>
            <b/>
            <sz val="9"/>
            <color indexed="81"/>
            <rFont val="돋움체"/>
            <family val="3"/>
            <charset val="129"/>
          </rPr>
          <t>사용빈도시간</t>
        </r>
        <r>
          <rPr>
            <b/>
            <sz val="9"/>
            <color indexed="81"/>
            <rFont val="Tahoma"/>
            <family val="2"/>
          </rPr>
          <t xml:space="preserve"> x </t>
        </r>
        <r>
          <rPr>
            <b/>
            <sz val="9"/>
            <color indexed="81"/>
            <rFont val="돋움체"/>
            <family val="3"/>
            <charset val="129"/>
          </rPr>
          <t>사용량</t>
        </r>
        <r>
          <rPr>
            <b/>
            <sz val="9"/>
            <color indexed="81"/>
            <rFont val="Tahoma"/>
            <family val="2"/>
          </rPr>
          <t xml:space="preserve"> x </t>
        </r>
        <r>
          <rPr>
            <b/>
            <sz val="9"/>
            <color indexed="81"/>
            <rFont val="돋움체"/>
            <family val="3"/>
            <charset val="129"/>
          </rPr>
          <t xml:space="preserve">단가
</t>
        </r>
        <r>
          <rPr>
            <b/>
            <sz val="9"/>
            <color indexed="81"/>
            <rFont val="Tahoma"/>
            <family val="2"/>
          </rPr>
          <t xml:space="preserve">3=Consumable         : </t>
        </r>
        <r>
          <rPr>
            <b/>
            <sz val="9"/>
            <color indexed="81"/>
            <rFont val="돋움체"/>
            <family val="3"/>
            <charset val="129"/>
          </rPr>
          <t>소모품가격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소모품내용연수</t>
        </r>
        <r>
          <rPr>
            <b/>
            <sz val="9"/>
            <color indexed="81"/>
            <rFont val="Tahoma"/>
            <family val="2"/>
          </rPr>
          <t>/12
4=CAPEX+OPEX         : 1+2
5=CAPEX+Consumable   : 1+3
6=OPEX+Consumable    : 2+3
[</t>
        </r>
        <r>
          <rPr>
            <b/>
            <sz val="9"/>
            <color indexed="81"/>
            <rFont val="돋움체"/>
            <family val="3"/>
            <charset val="129"/>
          </rPr>
          <t>사용빈도시간</t>
        </r>
        <r>
          <rPr>
            <b/>
            <sz val="9"/>
            <color indexed="81"/>
            <rFont val="Tahoma"/>
            <family val="2"/>
          </rPr>
          <t xml:space="preserve">] </t>
        </r>
        <r>
          <rPr>
            <b/>
            <sz val="9"/>
            <color indexed="81"/>
            <rFont val="돋움체"/>
            <family val="3"/>
            <charset val="129"/>
          </rPr>
          <t>횟수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가능</t>
        </r>
      </text>
    </comment>
  </commentList>
</comments>
</file>

<file path=xl/sharedStrings.xml><?xml version="1.0" encoding="utf-8"?>
<sst xmlns="http://schemas.openxmlformats.org/spreadsheetml/2006/main" count="5903" uniqueCount="1275">
  <si>
    <t>구분</t>
  </si>
  <si>
    <t>구분</t>
    <phoneticPr fontId="2" type="noConversion"/>
  </si>
  <si>
    <t>비용 절감</t>
  </si>
  <si>
    <t>비용 절감</t>
    <phoneticPr fontId="2" type="noConversion"/>
  </si>
  <si>
    <t>Bricolage: analysis and refactoring - 삶의 비용과 효과를 재구성하는 방법</t>
    <phoneticPr fontId="2" type="noConversion"/>
  </si>
  <si>
    <t>방법</t>
  </si>
  <si>
    <t>방법</t>
    <phoneticPr fontId="2" type="noConversion"/>
  </si>
  <si>
    <t>사례</t>
  </si>
  <si>
    <t>사례</t>
    <phoneticPr fontId="2" type="noConversion"/>
  </si>
  <si>
    <t>포인트</t>
  </si>
  <si>
    <t>포인트</t>
    <phoneticPr fontId="2" type="noConversion"/>
  </si>
  <si>
    <t>1타 N피</t>
  </si>
  <si>
    <t>1타 N피</t>
    <phoneticPr fontId="2" type="noConversion"/>
  </si>
  <si>
    <t>한 제품의 특징을 여러 분야에 적용</t>
    <phoneticPr fontId="2" type="noConversion"/>
  </si>
  <si>
    <t>WD-40, 바세린, 니베아 크림</t>
  </si>
  <si>
    <t>WD-40, 바세린, 니베아 크림</t>
    <phoneticPr fontId="2" type="noConversion"/>
  </si>
  <si>
    <t>positioning</t>
  </si>
  <si>
    <t>positioning</t>
    <phoneticPr fontId="2" type="noConversion"/>
  </si>
  <si>
    <t>저비용 position 확보</t>
  </si>
  <si>
    <t>저비용 position 확보</t>
    <phoneticPr fontId="2" type="noConversion"/>
  </si>
  <si>
    <t>effectiveness</t>
  </si>
  <si>
    <t>effectiveness</t>
    <phoneticPr fontId="2" type="noConversion"/>
  </si>
  <si>
    <t>효과가 발생하는 부분에만 비용 투입</t>
    <phoneticPr fontId="2" type="noConversion"/>
  </si>
  <si>
    <t>온수매트</t>
  </si>
  <si>
    <t>온수매트</t>
    <phoneticPr fontId="2" type="noConversion"/>
  </si>
  <si>
    <t>alternative</t>
  </si>
  <si>
    <t>alternative</t>
    <phoneticPr fontId="2" type="noConversion"/>
  </si>
  <si>
    <t>동일한 기능을 가지는 대체품 활용</t>
    <phoneticPr fontId="2" type="noConversion"/>
  </si>
  <si>
    <t>전열교환기 프레임에 스틸자 사용</t>
  </si>
  <si>
    <t>전열교환기 프레임에 스틸자 사용</t>
    <phoneticPr fontId="2" type="noConversion"/>
  </si>
  <si>
    <t>분야</t>
  </si>
  <si>
    <t>분야</t>
    <phoneticPr fontId="2" type="noConversion"/>
  </si>
  <si>
    <t>주</t>
  </si>
  <si>
    <t>주</t>
    <phoneticPr fontId="2" type="noConversion"/>
  </si>
  <si>
    <t>생활</t>
  </si>
  <si>
    <t>생활</t>
    <phoneticPr fontId="2" type="noConversion"/>
  </si>
  <si>
    <t>DIY</t>
  </si>
  <si>
    <t>DIY</t>
    <phoneticPr fontId="2" type="noConversion"/>
  </si>
  <si>
    <t>일반인</t>
    <phoneticPr fontId="2" type="noConversion"/>
  </si>
  <si>
    <t>굵은 전선으로 고전류 오디오용 멀티탭 생산</t>
    <phoneticPr fontId="2" type="noConversion"/>
  </si>
  <si>
    <t>취미</t>
  </si>
  <si>
    <t>취미</t>
    <phoneticPr fontId="2" type="noConversion"/>
  </si>
  <si>
    <t>게샤 원두를 사서 드립백 자작</t>
  </si>
  <si>
    <t>게샤 원두를 사서 드립백 자작</t>
    <phoneticPr fontId="2" type="noConversion"/>
  </si>
  <si>
    <t>드립백을 사서 고급티백 자작</t>
  </si>
  <si>
    <t>드립백을 사서 고급티백 자작</t>
    <phoneticPr fontId="2" type="noConversion"/>
  </si>
  <si>
    <t>중고를 사서 초기 감가상각 비용 회피</t>
    <phoneticPr fontId="2" type="noConversion"/>
  </si>
  <si>
    <t>중고품 당근</t>
  </si>
  <si>
    <t>중고품 당근</t>
    <phoneticPr fontId="2" type="noConversion"/>
  </si>
  <si>
    <t>90~2000년대 오디오 컴포넌트</t>
  </si>
  <si>
    <t>90~2000년대 오디오 컴포넌트</t>
    <phoneticPr fontId="2" type="noConversion"/>
  </si>
  <si>
    <t>중형 카메라 및 렌즈</t>
  </si>
  <si>
    <t>중형 카메라 및 렌즈</t>
    <phoneticPr fontId="2" type="noConversion"/>
  </si>
  <si>
    <t>맥 컴퓨터, 리눅스 미니 PC</t>
  </si>
  <si>
    <t>맥 컴퓨터, 리눅스 미니 PC</t>
    <phoneticPr fontId="2" type="noConversion"/>
  </si>
  <si>
    <t>취미용품: 등산, 낚시, 골프채 등</t>
  </si>
  <si>
    <t>취미용품: 등산, 낚시, 골프채 등</t>
    <phoneticPr fontId="2" type="noConversion"/>
  </si>
  <si>
    <t>보스턴 백 등 비일상 가방</t>
  </si>
  <si>
    <t>보스턴 백 등 비일상 가방</t>
    <phoneticPr fontId="2" type="noConversion"/>
  </si>
  <si>
    <t>fitness 회원권</t>
  </si>
  <si>
    <t>fitness 회원권</t>
    <phoneticPr fontId="2" type="noConversion"/>
  </si>
  <si>
    <t>LED 전구 + 한지로 조명만들기</t>
  </si>
  <si>
    <t>LED 전구 + 한지로 조명만들기</t>
    <phoneticPr fontId="2" type="noConversion"/>
  </si>
  <si>
    <t>right spec</t>
  </si>
  <si>
    <t>right spec</t>
    <phoneticPr fontId="2" type="noConversion"/>
  </si>
  <si>
    <t>공기청정기: 샤오미+3rd party</t>
  </si>
  <si>
    <t>공기청정기: 샤오미+3rd party</t>
    <phoneticPr fontId="2" type="noConversion"/>
  </si>
  <si>
    <t>정수기: filter 자가 교환</t>
  </si>
  <si>
    <t>정수기: filter 자가 교환</t>
    <phoneticPr fontId="2" type="noConversion"/>
  </si>
  <si>
    <t>가습기: 샤오미</t>
  </si>
  <si>
    <t>가습기: 샤오미</t>
    <phoneticPr fontId="2" type="noConversion"/>
  </si>
  <si>
    <t>필요한 기능만 있는 제품을 구입하여 안쓰는 프리미엄 방지</t>
    <phoneticPr fontId="2" type="noConversion"/>
  </si>
  <si>
    <t>관리</t>
  </si>
  <si>
    <t>관리</t>
    <phoneticPr fontId="2" type="noConversion"/>
  </si>
  <si>
    <t>유효기간</t>
  </si>
  <si>
    <t>유효기간</t>
    <phoneticPr fontId="2" type="noConversion"/>
  </si>
  <si>
    <t>미리알림 app에 사전 등록 및 반복</t>
    <phoneticPr fontId="2" type="noConversion"/>
  </si>
  <si>
    <t>not over change</t>
  </si>
  <si>
    <t>not over change</t>
    <phoneticPr fontId="2" type="noConversion"/>
  </si>
  <si>
    <t>실질적 내구도를 보고, 소모품 교환</t>
    <phoneticPr fontId="2" type="noConversion"/>
  </si>
  <si>
    <t>엔진오일: 1L 채워주고, 교환(3만km보증이니 2.5만km만)</t>
    <phoneticPr fontId="2" type="noConversion"/>
  </si>
  <si>
    <t>condensate</t>
  </si>
  <si>
    <t>condensate</t>
    <phoneticPr fontId="2" type="noConversion"/>
  </si>
  <si>
    <t>물을 섞어 쓰는 방식으로 용기, 운송비 절감</t>
    <phoneticPr fontId="2" type="noConversion"/>
  </si>
  <si>
    <t>알약 형식의 차유리 세정제 사용</t>
    <phoneticPr fontId="2" type="noConversion"/>
  </si>
  <si>
    <t>녹차 Pet병 대신 녹차 타먹기</t>
  </si>
  <si>
    <t>녹차 Pet병 대신 녹차 타먹기</t>
    <phoneticPr fontId="2" type="noConversion"/>
  </si>
  <si>
    <t>맥주대신 독주+얼음</t>
  </si>
  <si>
    <t>맥주대신 독주+얼음</t>
    <phoneticPr fontId="2" type="noConversion"/>
  </si>
  <si>
    <t>마우스: 로지텍 기본, 키보드: 독거미</t>
  </si>
  <si>
    <t>마우스: 로지텍 기본, 키보드: 독거미</t>
    <phoneticPr fontId="2" type="noConversion"/>
  </si>
  <si>
    <t>simplify</t>
  </si>
  <si>
    <t>simplify</t>
    <phoneticPr fontId="2" type="noConversion"/>
  </si>
  <si>
    <t>생활명품 정기 구입을 통해 다른 지출 차단</t>
    <phoneticPr fontId="2" type="noConversion"/>
  </si>
  <si>
    <t>베트남 캐슈넛으로 견과류 통일</t>
  </si>
  <si>
    <t>베트남 캐슈넛으로 견과류 통일</t>
    <phoneticPr fontId="2" type="noConversion"/>
  </si>
  <si>
    <t>에이스, 야채크래커로 과자 통일</t>
  </si>
  <si>
    <t>에이스, 야채크래커로 과자 통일</t>
    <phoneticPr fontId="2" type="noConversion"/>
  </si>
  <si>
    <t>토마토로 과일 대체</t>
  </si>
  <si>
    <t>토마토로 과일 대체</t>
    <phoneticPr fontId="2" type="noConversion"/>
  </si>
  <si>
    <t>부품을 소모품화하여 사용감 개선</t>
  </si>
  <si>
    <t>부품을 소모품화하여 사용감 개선</t>
    <phoneticPr fontId="2" type="noConversion"/>
  </si>
  <si>
    <t>다이소 신발깔창으로 자주 교환</t>
  </si>
  <si>
    <t>다이소 신발깔창으로 자주 교환</t>
    <phoneticPr fontId="2" type="noConversion"/>
  </si>
  <si>
    <t>sharing</t>
  </si>
  <si>
    <t>sharing</t>
    <phoneticPr fontId="2" type="noConversion"/>
  </si>
  <si>
    <t>소분을 통해 한 번 구매/여러 곳에서 사용</t>
    <phoneticPr fontId="2" type="noConversion"/>
  </si>
  <si>
    <t>Personal care제품 소분용기 이용</t>
  </si>
  <si>
    <t>Personal care제품 소분용기 이용</t>
    <phoneticPr fontId="2" type="noConversion"/>
  </si>
  <si>
    <t>단위가 큰 후추, 소금, 소스류 소분하여 지인과 나눔</t>
    <phoneticPr fontId="2" type="noConversion"/>
  </si>
  <si>
    <t>내의: 패션이 아니므로 국산 대량 구입(러닝, 팬티, 양말 등)</t>
    <phoneticPr fontId="2" type="noConversion"/>
  </si>
  <si>
    <t>부품 교환</t>
  </si>
  <si>
    <t>부품 교환</t>
    <phoneticPr fontId="2" type="noConversion"/>
  </si>
  <si>
    <t>부품을 교환하여 전체 set 수명 개선</t>
    <phoneticPr fontId="2" type="noConversion"/>
  </si>
  <si>
    <t>PC에 ram/ssd 추가</t>
  </si>
  <si>
    <t>PC에 ram/ssd 추가</t>
    <phoneticPr fontId="2" type="noConversion"/>
  </si>
  <si>
    <t>전자제품 fuse 교환</t>
  </si>
  <si>
    <t>전자제품 fuse 교환</t>
    <phoneticPr fontId="2" type="noConversion"/>
  </si>
  <si>
    <t>모바일 기기 케이스, 보호유리, 마우스 접점 등</t>
    <phoneticPr fontId="2" type="noConversion"/>
  </si>
  <si>
    <t>고품질 제품 자작</t>
  </si>
  <si>
    <t>고품질 제품 자작</t>
    <phoneticPr fontId="2" type="noConversion"/>
  </si>
  <si>
    <t>비브람 밑창 교환</t>
  </si>
  <si>
    <t>비브람 밑창 교환(약간 빠르게)</t>
    <phoneticPr fontId="2" type="noConversion"/>
  </si>
  <si>
    <t>유지보수</t>
  </si>
  <si>
    <t>유지보수</t>
    <phoneticPr fontId="2" type="noConversion"/>
  </si>
  <si>
    <t>사전 유지보수를 통한 고장 방지</t>
    <phoneticPr fontId="2" type="noConversion"/>
  </si>
  <si>
    <t>가죽제품 정기 컨디셔닝</t>
  </si>
  <si>
    <t>가죽제품 정기 컨디셔닝</t>
    <phoneticPr fontId="2" type="noConversion"/>
  </si>
  <si>
    <t>이너: 잘 안보이므로 기능이 좋은 국산을 아울렛 매대에서 구입</t>
    <phoneticPr fontId="2" type="noConversion"/>
  </si>
  <si>
    <t>시계 tool을 사서 배터리 교환</t>
    <phoneticPr fontId="2" type="noConversion"/>
  </si>
  <si>
    <t>relocation</t>
  </si>
  <si>
    <t>relocation</t>
    <phoneticPr fontId="2" type="noConversion"/>
  </si>
  <si>
    <t>IT기기 보직 변경으로 수명 연장</t>
  </si>
  <si>
    <t>IT기기 보직 변경으로 수명 연장</t>
    <phoneticPr fontId="2" type="noConversion"/>
  </si>
  <si>
    <t>오래된 아이맥은 인터넷, 유튜브 전용</t>
    <phoneticPr fontId="2" type="noConversion"/>
  </si>
  <si>
    <t>오래된 테블릿은 전자 액자</t>
    <phoneticPr fontId="2" type="noConversion"/>
  </si>
  <si>
    <t>오래된 아이폰은 리모컨으로</t>
  </si>
  <si>
    <t>오래된 아이폰은 리모컨으로</t>
    <phoneticPr fontId="2" type="noConversion"/>
  </si>
  <si>
    <t>오래된 맥북은 크램쉘 모드로</t>
  </si>
  <si>
    <t>오래된 맥북은 크램쉘 모드로</t>
    <phoneticPr fontId="2" type="noConversion"/>
  </si>
  <si>
    <t>아이패드는 일반형 wifi로</t>
  </si>
  <si>
    <t>아이패드는 일반형 wifi로</t>
    <phoneticPr fontId="2" type="noConversion"/>
  </si>
  <si>
    <t>소니 모니터링 헤드폰 + 블루투스 리시버</t>
    <phoneticPr fontId="2" type="noConversion"/>
  </si>
  <si>
    <t>고성능 PC로 IT 생산성 강화</t>
  </si>
  <si>
    <t>고성능 PC로 IT 생산성 강화</t>
    <phoneticPr fontId="2" type="noConversion"/>
  </si>
  <si>
    <t>Mac studio 등 CPU/RAM 집중투자</t>
  </si>
  <si>
    <t>Mac studio 등 CPU/RAM 집중투자</t>
    <phoneticPr fontId="2" type="noConversion"/>
  </si>
  <si>
    <t>Self-hosting으로 구독료 제로화</t>
  </si>
  <si>
    <t>Self-hosting으로 구독료 제로화</t>
    <phoneticPr fontId="2" type="noConversion"/>
  </si>
  <si>
    <t>카드사 할인</t>
  </si>
  <si>
    <t>카드사 할인</t>
    <phoneticPr fontId="2" type="noConversion"/>
  </si>
  <si>
    <t>조건을 맞추려는 불필요한 소비 증가</t>
    <phoneticPr fontId="2" type="noConversion"/>
  </si>
  <si>
    <t>카드사 할인 카드는 1개만 운영</t>
  </si>
  <si>
    <t>카드사 할인 카드는 1개만 운영</t>
    <phoneticPr fontId="2" type="noConversion"/>
  </si>
  <si>
    <t>소형 포트 화분 구매후 육성</t>
    <phoneticPr fontId="2" type="noConversion"/>
  </si>
  <si>
    <t>서비스 비용 제거</t>
  </si>
  <si>
    <t>서비스 비용 제거</t>
    <phoneticPr fontId="2" type="noConversion"/>
  </si>
  <si>
    <t>조명, 힌지, 문고리 스스로 교환</t>
  </si>
  <si>
    <t>조명, 힌지, 문고리 스스로 교환</t>
    <phoneticPr fontId="2" type="noConversion"/>
  </si>
  <si>
    <t>비데 필터 자가 교환</t>
  </si>
  <si>
    <t>비데 필터 자가 교환</t>
    <phoneticPr fontId="2" type="noConversion"/>
  </si>
  <si>
    <t>가스레인지 기름망 자가 세척</t>
  </si>
  <si>
    <t>가스레인지 기름망 자가 세척</t>
    <phoneticPr fontId="2" type="noConversion"/>
  </si>
  <si>
    <t>요약</t>
    <phoneticPr fontId="2" type="noConversion"/>
  </si>
  <si>
    <t>적절한 제품을 구매하라</t>
    <phoneticPr fontId="2" type="noConversion"/>
  </si>
  <si>
    <t>스스로 만들어라</t>
    <phoneticPr fontId="2" type="noConversion"/>
  </si>
  <si>
    <t>필요한 기능에 지불</t>
  </si>
  <si>
    <t>필요한 기능에 지불</t>
    <phoneticPr fontId="2" type="noConversion"/>
  </si>
  <si>
    <t>놋쇠 수저, 세라믹 식기</t>
  </si>
  <si>
    <t>놋쇠 수저, 세라믹 식기</t>
    <phoneticPr fontId="2" type="noConversion"/>
  </si>
  <si>
    <t>이케아 칼갈이로 칼, 가위 보수</t>
  </si>
  <si>
    <t>이케아 칼갈이로 칼, 가위 보수</t>
    <phoneticPr fontId="2" type="noConversion"/>
  </si>
  <si>
    <t>지인의 잉여 물품 받아오기</t>
  </si>
  <si>
    <t>지인의 잉여 물품 받아오기</t>
    <phoneticPr fontId="2" type="noConversion"/>
  </si>
  <si>
    <t>식재료 유효기간</t>
  </si>
  <si>
    <t>식재료 유효기간</t>
    <phoneticPr fontId="2" type="noConversion"/>
  </si>
  <si>
    <t>정수기/청정기 필터 교환 시기</t>
  </si>
  <si>
    <t>정수기/청정기 필터 교환 시기</t>
    <phoneticPr fontId="2" type="noConversion"/>
  </si>
  <si>
    <t>구독 최적화</t>
  </si>
  <si>
    <t>구독 최적화</t>
    <phoneticPr fontId="2" type="noConversion"/>
  </si>
  <si>
    <t>자동차 리스, 정수기는 검토 가능</t>
  </si>
  <si>
    <t>자동차 리스, 정수기는 검토 가능</t>
    <phoneticPr fontId="2" type="noConversion"/>
  </si>
  <si>
    <t>식</t>
  </si>
  <si>
    <t>식</t>
    <phoneticPr fontId="2" type="noConversion"/>
  </si>
  <si>
    <t>기호</t>
  </si>
  <si>
    <t>기호</t>
    <phoneticPr fontId="2" type="noConversion"/>
  </si>
  <si>
    <t>IT</t>
  </si>
  <si>
    <t>의</t>
  </si>
  <si>
    <t>의</t>
    <phoneticPr fontId="2" type="noConversion"/>
  </si>
  <si>
    <t>원가절감</t>
    <phoneticPr fontId="2" type="noConversion"/>
  </si>
  <si>
    <t>가치제고</t>
    <phoneticPr fontId="2" type="noConversion"/>
  </si>
  <si>
    <t>○</t>
    <phoneticPr fontId="2" type="noConversion"/>
  </si>
  <si>
    <t>모니터 거치대 대신 백과사전</t>
  </si>
  <si>
    <t>모니터 거치대 대신 백과사전</t>
    <phoneticPr fontId="2" type="noConversion"/>
  </si>
  <si>
    <t>모니터는 120hz, 4K로 스펙 통일</t>
  </si>
  <si>
    <t>모니터는 120hz, 4K로 스펙 통일</t>
    <phoneticPr fontId="2" type="noConversion"/>
  </si>
  <si>
    <t>매일 쓰는 제품만 구독</t>
  </si>
  <si>
    <t>매일 쓰는 제품만 구독</t>
    <phoneticPr fontId="2" type="noConversion"/>
  </si>
  <si>
    <t>개선 효과</t>
    <phoneticPr fontId="2" type="noConversion"/>
  </si>
  <si>
    <t>내구성 개선</t>
    <phoneticPr fontId="2" type="noConversion"/>
  </si>
  <si>
    <t>spec 조절 가능</t>
    <phoneticPr fontId="2" type="noConversion"/>
  </si>
  <si>
    <t>최상 기호품 향유</t>
    <phoneticPr fontId="2" type="noConversion"/>
  </si>
  <si>
    <t>고급스러운 분위기</t>
    <phoneticPr fontId="2" type="noConversion"/>
  </si>
  <si>
    <t>IT 기술 강화</t>
    <phoneticPr fontId="2" type="noConversion"/>
  </si>
  <si>
    <t>식집사 체험</t>
    <phoneticPr fontId="2" type="noConversion"/>
  </si>
  <si>
    <t>부품선택 가능</t>
    <phoneticPr fontId="2" type="noConversion"/>
  </si>
  <si>
    <t>생산성</t>
    <phoneticPr fontId="2" type="noConversion"/>
  </si>
  <si>
    <t>쾌적함</t>
    <phoneticPr fontId="2" type="noConversion"/>
  </si>
  <si>
    <t>건강</t>
    <phoneticPr fontId="2" type="noConversion"/>
  </si>
  <si>
    <t>쾌적 건강</t>
    <phoneticPr fontId="2" type="noConversion"/>
  </si>
  <si>
    <t>사례 (본질)</t>
  </si>
  <si>
    <t>일반인 (The Consumer)</t>
  </si>
  <si>
    <t>Bricoleur (The Architect)</t>
  </si>
  <si>
    <t>WD-40, 바세린 등</t>
  </si>
  <si>
    <t>목적별로 전용 하이엔드 제품을 각각 구매하여 공간과 비용을 낭비함.</t>
  </si>
  <si>
    <t>물질의 핵심 화학적·물리적 본질을 간파하여 하나의 자재로 일타십피함.</t>
  </si>
  <si>
    <t>낀 아파트 (주거)</t>
  </si>
  <si>
    <t>브랜드와 대단지 프리미엄이라는 거품(10%)을 사기 위해 거대 영혼 가출 대출을 감사히 짊어짐.</t>
  </si>
  <si>
    <t>저비용 고효율 포지션을 명확히 장악하여 주거비의 고정 오버헤드를 물리적으로 컷(Cut)함.</t>
  </si>
  <si>
    <t>온수매트만 가동</t>
  </si>
  <si>
    <t>보일러를 풀가동해 안 쓰는 방의 공기까지 데우며 가스비를 대기업에 덤핑함.</t>
  </si>
  <si>
    <t>내 피부와 신경계에 열이 닿는 실질적인 런타임 영역(온수매트)에만 비용을 집중 투입함.</t>
  </si>
  <si>
    <t>스틸자, 백과사전 등</t>
  </si>
  <si>
    <t>전용 모니터 거치대, 브랜드 소품을 카트에 담으며 포장재 쓰레기를 양산함.</t>
  </si>
  <si>
    <t>주위에 널린 고중량 물성(백과사전, 스틸자)을 팅커링(Tinkering)하여 기성품의 기능을 완벽히 대체함.</t>
  </si>
  <si>
    <t>오디오 멀티탭, 드립백 자작, 자가 셸프 호스팅 등</t>
  </si>
  <si>
    <t>완제품에 붙은 브랜딩 마케팅 비용을 지불하며, 대기업 서비스(케어)의 노예가 됨.</t>
  </si>
  <si>
    <t>원재료 1%를 직접 소싱하고 빌드(Build)하여, 유통 마진을 파괴하고 최고 존엄의 럭셔리를 향유함.</t>
  </si>
  <si>
    <t>RAM/SSD 추가, 퓨즈 교환 등</t>
  </si>
  <si>
    <t>아주 작은 부품 하나만 고장 나거나 느려져도 시스템 전체를 폐기하고 새로 구매함.</t>
  </si>
  <si>
    <t>병목(Bottleneck)이 발생한 노드만 정확히 짚어내어 교체(Patch)함으로써 전체 세트의 수명을 영구히 연장함.</t>
  </si>
  <si>
    <t>오디오 컴포넌트, 카메라, 맥 컴퓨터 등</t>
  </si>
  <si>
    <t>비닐도 안 뜯은 신제품의 초기 감가상각 비용을 온몸으로 두들겨 맞으며 자산을 탕진함.</t>
  </si>
  <si>
    <t>감가상각이 완전히 끝나 본질적인 가치만 남은 명작들을 당근마켓에서 주워와 생산성을 극상으로 레버리지함.</t>
  </si>
  <si>
    <t>샤오미 가전, 독거미 키보드, 아울렛 매대 이너 등</t>
  </si>
  <si>
    <t>쓰지도 않는 프리미엄 기능과 센서가 덕지덕지 붙은 100만 원짜리 과보조 하이엔드 가전에 영혼을 빼앗김.</t>
  </si>
  <si>
    <t>콤팩트하고 이동성이 극대화된 기본 스펙만 취하고, 소모품은 호환 필터(3rd party)로 자가 관리하여 낭비를 차단함.</t>
  </si>
  <si>
    <t>엔진오일 보충만, 비브람 밑창 보수</t>
  </si>
  <si>
    <t>대기업 정비소의 마케팅 스크립트(주기별 무조건 교체)에 속아 멀쩡한 자산을 조기 폐기함.</t>
  </si>
  <si>
    <t>실질적 내구도와 데이터(km)를 모니터링하며, 소모되는 코어(밑창, 오일)만 영리하게 부분 보수함.</t>
  </si>
  <si>
    <t>가죽 정기 컨디셔닝, 이케아 칼갈이</t>
  </si>
  <si>
    <t>고장 나거나 무뎌질 때까지 방치하다가 최악의 타이밍에 시스템 다운(System Down)을 맞이함.</t>
  </si>
  <si>
    <t>크론탭(Crontab)을 돌리듯 정기적인 사전 레이버(Labor)를 투입해 기기의 컨디션을 무결점으로 유지함.</t>
  </si>
  <si>
    <t>알약 세정제, 전통 독주+얼음</t>
  </si>
  <si>
    <t>무거운 액체와 플라스틱 병(페트병 음료)을 대량으로 사서 냉장고를 채우고, 산더미 같은 분리수거 쓰레기에 노동을 저당 잡힘.</t>
  </si>
  <si>
    <t>고농축 자산(알약 세정제, 차, 안동소주)만 소싱하고 로컬 인프라(정수기 물, 얼음)와 결합해 분리수거를 제로(0)화함.</t>
  </si>
  <si>
    <t>캐슈넛, 크래커 통일</t>
  </si>
  <si>
    <t>마트에서 카트를 끌며 온갖 신상 과자와 기호품을 탐닉하느라 인지적 과부하와 과소비를 유발함.</t>
  </si>
  <si>
    <t>검증된 생활명품 딱 몇 가지만 데이터베이스에 락(Lock)해두고 정기 구입하여, 기호품 소비에 들어가는 뇌 연산 능력을 꺼버림.</t>
  </si>
  <si>
    <t>개인 케어 제품, 후추·소금 소분 나눔</t>
  </si>
  <si>
    <t>대용량 제품을 사서 방치하다 유통기한이 지나 쓰레기통으로 버리는 '악성 재고 순환 체계'에 갇힘.</t>
  </si>
  <si>
    <t>대용량 자산을 해체해 호텔 용기 등에 감각적으로 소분함. 내 식탁은 콤팩트하게 만들고, 남은 가치는 지인에게 분배하여 비동기 리턴(보답) 자산으로 유동화함.</t>
  </si>
  <si>
    <t>오래된 아이맥(유튜브용), 아이폰(리모컨) 등</t>
  </si>
  <si>
    <t>신형 기기가 나오면 구형 기기는 서랍 속에 처박아 두어 가치를 0으로 만듦.</t>
  </si>
  <si>
    <t>구형 하드웨어의 보직을 변경(Repurposing)하여 전용 모듈(액자, 리모컨, 서버)로 완벽하게 리팩토링함.</t>
  </si>
  <si>
    <t>할인 카드 1개만 운영</t>
  </si>
  <si>
    <t>카드 실적 조건을 맞추기 위해 억지로 불필요한 소비를 추가로 감행하는 연산 오류를 범함.</t>
  </si>
  <si>
    <t>카드사 마케팅 스크립트에 휘둘리지 않도록 포트를 딱 1개만 열어두고 트래픽을 단순화함.</t>
  </si>
  <si>
    <t>자동차 리스, 정수기 등 검토</t>
  </si>
  <si>
    <t>"월 몇만 원"이라는 구독 경제의 교묘한 덫에 걸려 매달 고정 비용 파이프라인에서 피 같은 돈이 줄줄 새어나감.</t>
  </si>
  <si>
    <t>매일 쓰는 본질적 서비스가 아니면 접근 토큰을 만료(Expire)시키고, 자산 점유율을 엄격하게 통제함.</t>
  </si>
  <si>
    <t>미리알림 앱 사전 등록 및 반복</t>
  </si>
  <si>
    <t>필터 교체 주기나 식재료 유통기한을 감으로 관리하다 타이밍을 놓쳐 시스템에 에러를 냄.</t>
  </si>
  <si>
    <t>**'미리알림 100선 크론탭'**을 구축하여 알림이 울리면 고민 없이 1분 컷으로 자가 정비를 완료하는 자동화 루틴을 완비함.</t>
  </si>
  <si>
    <t>소형 포트 화분 구매 후 육성</t>
  </si>
  <si>
    <t>Bricoleur</t>
    <phoneticPr fontId="2" type="noConversion"/>
  </si>
  <si>
    <t>용도별 전용 제품 복수 구매</t>
  </si>
  <si>
    <t>안 쓰는 공간까지 보일러 풀가동</t>
  </si>
  <si>
    <t>고가 제철/프리미엄 과일</t>
  </si>
  <si>
    <t>브랜드 전용 거치대 구매 감가</t>
  </si>
  <si>
    <t>하이엔드 오디오 완제품 구매 감가</t>
  </si>
  <si>
    <t>수입/디자이너 조명 구매 감가</t>
  </si>
  <si>
    <t>스트리밍/클라우드 다중 구독</t>
  </si>
  <si>
    <t>대형 완성 화분 구매 및 폐기 반복</t>
  </si>
  <si>
    <t>시공업체 출장비 및 마진 연환산</t>
  </si>
  <si>
    <t>브랜드 렌탈 케어 서비스</t>
  </si>
  <si>
    <t>공식 AS 호출 및 수리비</t>
  </si>
  <si>
    <t>신발 통교체 또는 세탁소 의뢰</t>
  </si>
  <si>
    <t>초기 신제품 감가상각 직격타</t>
  </si>
  <si>
    <t>최신형 카메라 바디/렌즈 감가</t>
  </si>
  <si>
    <t>신형 출시마다 통기변 감가</t>
  </si>
  <si>
    <t>유행 따라 신상 풀세트 구매 감가</t>
  </si>
  <si>
    <t>필요할 때마다 새 제품 구매 방치</t>
  </si>
  <si>
    <t>정가 연간권 결제 후 유령 회원</t>
  </si>
  <si>
    <t>하이엔드 브랜드 렌탈/구독료</t>
  </si>
  <si>
    <t>얼음/케어 포함 브랜드 렌탈</t>
  </si>
  <si>
    <t>복합식/과보조 기능 가습기 감가</t>
  </si>
  <si>
    <t>게이밍/프리미엄 잦은 교체 감가</t>
  </si>
  <si>
    <t>브랜드/백화점 내의 낱개 구매</t>
  </si>
  <si>
    <t>신상/브랜드 이너웨어 구매</t>
  </si>
  <si>
    <t>오버스펙 게이밍/브랜드 감가</t>
  </si>
  <si>
    <t>프로/셀룰러 오버스펙 구매 감가</t>
  </si>
  <si>
    <t>유행 타는 식기 세트 잦은 기변</t>
  </si>
  <si>
    <t>외형 겉멋 투자 후 잦은 병목/기변</t>
  </si>
  <si>
    <t>밑창 닳으면 신발 폐기 및 재구입</t>
  </si>
  <si>
    <t>갈라지고 부패하여 통폐기/재구입</t>
  </si>
  <si>
    <t>매장 방문 및 교체 수리비</t>
  </si>
  <si>
    <t>무뎌지면 버리고 새 세트 구매</t>
  </si>
  <si>
    <t>대형 페트병 워셔액 지속 구매</t>
  </si>
  <si>
    <t>무거운 페트병 음료 박스 단위 쟁임</t>
  </si>
  <si>
    <t>부피 큰 맥주 잦은 구매/냉장고 부하</t>
  </si>
  <si>
    <t>온갖 프리미엄 간식 탐색 과소비</t>
  </si>
  <si>
    <t>마트 카트 신상 과자 무작위 담기</t>
  </si>
  <si>
    <t>여행/운동용 트래블 키트 매번 구입</t>
  </si>
  <si>
    <t>악성 재고로 유통기한 경과 후 폐기</t>
  </si>
  <si>
    <t>기존 기기 폐기 후 서브 PC 구매</t>
  </si>
  <si>
    <t>전용 디지털 액자 추가 구매 감가</t>
  </si>
  <si>
    <t>스마트 리모컨/패널 추가 구매</t>
  </si>
  <si>
    <t>데스크탑 Mac 추가 구매 감가</t>
  </si>
  <si>
    <t>필요 물품 무조건 새것 구매</t>
  </si>
  <si>
    <t>실적 채우기용 억지 과소비 누수</t>
  </si>
  <si>
    <t>무분별한 렌탈 구독료 적자</t>
  </si>
  <si>
    <t>교체 시기 도과로 기기 고장/성능 저하</t>
  </si>
  <si>
    <t>냉장고 블랙홀에서 썩혀 버리는 비용</t>
  </si>
  <si>
    <t>범용 제품 1개로 해결</t>
  </si>
  <si>
    <t>동선 내 접촉 구역만 온수매트 타겟팅</t>
  </si>
  <si>
    <t>스틸자 무한 재활용</t>
  </si>
  <si>
    <t>영양가 높은 토마토 통일</t>
  </si>
  <si>
    <t>기존 물성 활용</t>
  </si>
  <si>
    <t>부품 구매 후 자작</t>
  </si>
  <si>
    <t>소형 포트 육성</t>
  </si>
  <si>
    <t>호환 필터 구입</t>
  </si>
  <si>
    <t>세제 및 자가 노동</t>
  </si>
  <si>
    <t>병목 부품만 업그레이드</t>
  </si>
  <si>
    <t>퓨즈 원가</t>
  </si>
  <si>
    <t>다이소 깔창 교체</t>
  </si>
  <si>
    <t>감가 끝난 명기 중고 방어</t>
  </si>
  <si>
    <t>중고품 소싱 및 재당근 방어</t>
  </si>
  <si>
    <t>중고 맥/미니 PC 헌터</t>
  </si>
  <si>
    <t>당근에서 검증된 중고 소싱</t>
  </si>
  <si>
    <t>중고 거래 활용</t>
  </si>
  <si>
    <t>당근마켓 양도권 활용</t>
  </si>
  <si>
    <t>기본 스펙 + 호환 필터 자가교체</t>
  </si>
  <si>
    <t>직수형 기본 스펙 + 자가 교체</t>
  </si>
  <si>
    <t>자연기화식 기본 스펙</t>
  </si>
  <si>
    <t>가성비 최적화 기기</t>
  </si>
  <si>
    <t>품질 좋은 국산 대량 구매 통일</t>
  </si>
  <si>
    <t>매대 기능성 의류 소싱</t>
  </si>
  <si>
    <t>Eizo 등 최적 스펙 통일 방어</t>
  </si>
  <si>
    <t>일반형 본질 스펙 유지</t>
  </si>
  <si>
    <t>반영구적 실질 기능 식기</t>
  </si>
  <si>
    <t>64GB RAM 등 코어 스펙 집중 롱런</t>
  </si>
  <si>
    <t>데이터 기반 보충 후 적기 교환</t>
  </si>
  <si>
    <t>마모 전 선제적 보강 수명 연장</t>
  </si>
  <si>
    <t>컨디셔너 도포로 반영구적 유지</t>
  </si>
  <si>
    <t>건전지 부품 원가</t>
  </si>
  <si>
    <t>툴 하나로 무한 보수</t>
  </si>
  <si>
    <t>알약 보충 + 수돗물 믹싱</t>
  </si>
  <si>
    <t>찻잎/티백 + 정수기 직수</t>
  </si>
  <si>
    <t>안동 소주 등 고농축 + 얼음</t>
  </si>
  <si>
    <t>고품질 벌크 통일 락온</t>
  </si>
  <si>
    <t>검증된 클래식 라인 정기 소싱</t>
  </si>
  <si>
    <t>본품 소분</t>
  </si>
  <si>
    <t xml:space="preserve">리턴 자산화 </t>
  </si>
  <si>
    <t>새로운 보직/임무 부여</t>
  </si>
  <si>
    <t>구형 런타임 환경 재활용</t>
  </si>
  <si>
    <t>스마트 홈 인터페이스 전용</t>
  </si>
  <si>
    <t>본체로 활용하여 수명 연장</t>
  </si>
  <si>
    <t>유휴 자산 네트워크 활용</t>
  </si>
  <si>
    <t>포트 1개로 한정하여 과소비 방어</t>
  </si>
  <si>
    <t>검증된 필수 인프라만 구독</t>
  </si>
  <si>
    <t>알림 연동 즉시 소모 캐싱</t>
  </si>
  <si>
    <t>일반인_활동</t>
  </si>
  <si>
    <t>일반인_활동</t>
    <phoneticPr fontId="2" type="noConversion"/>
  </si>
  <si>
    <r>
      <t>Bricoleur_</t>
    </r>
    <r>
      <rPr>
        <sz val="10"/>
        <color theme="1"/>
        <rFont val="Noto Sans KR"/>
        <family val="2"/>
        <charset val="129"/>
      </rPr>
      <t>활동</t>
    </r>
    <phoneticPr fontId="2" type="noConversion"/>
  </si>
  <si>
    <t>중간에 낀 아파트</t>
  </si>
  <si>
    <t>중간에 낀 아파트</t>
    <phoneticPr fontId="2" type="noConversion"/>
  </si>
  <si>
    <t>옆, 위, 아래 아파트의 온기 공유</t>
    <phoneticPr fontId="2" type="noConversion"/>
  </si>
  <si>
    <t>전용 정품 프레임 구입 및 교환(240만원/5년, 월 6만원)</t>
    <phoneticPr fontId="2" type="noConversion"/>
  </si>
  <si>
    <t>외벽 한기 제거를 위한 가스 소비(동절기 6개월, 월 30만원)</t>
    <phoneticPr fontId="2" type="noConversion"/>
  </si>
  <si>
    <t>브랜드 커피 전문점 사용(월 5000원 X 30회)</t>
    <phoneticPr fontId="2" type="noConversion"/>
  </si>
  <si>
    <t>Top tier 생두/원두 소싱 후 직접 추출(700원 X 30회)</t>
    <phoneticPr fontId="2" type="noConversion"/>
  </si>
  <si>
    <t>선물받은 차를 드립백으로 DIY</t>
  </si>
  <si>
    <t>선물받은 차를 드립백으로 DIY</t>
    <phoneticPr fontId="2" type="noConversion"/>
  </si>
  <si>
    <t>프리미엄 티 브랜드 완제품 구매(월 3000원 X10회)</t>
    <phoneticPr fontId="2" type="noConversion"/>
  </si>
  <si>
    <t>수입/디자이너 조명 구매 감가(20만원, 20개월 사용)</t>
    <phoneticPr fontId="2" type="noConversion"/>
  </si>
  <si>
    <t>부품 소싱 및 자작(전구 3천원, 프레임 천원)</t>
    <phoneticPr fontId="2" type="noConversion"/>
  </si>
  <si>
    <t>배터리 수명 짧은 최신 무선 3년마다 기변</t>
    <phoneticPr fontId="2" type="noConversion"/>
  </si>
  <si>
    <t>유선 명기 + 블루투스 리시버 교체로 영구 사용</t>
    <phoneticPr fontId="2" type="noConversion"/>
  </si>
  <si>
    <t>전기세, 도메인 유지비</t>
  </si>
  <si>
    <t>전기세, 도메인 유지비</t>
    <phoneticPr fontId="2" type="noConversion"/>
  </si>
  <si>
    <t>인터넷 부품 원가 연환산</t>
    <phoneticPr fontId="2" type="noConversion"/>
  </si>
  <si>
    <t>청소 서비스(년 2회, 회당 5만원)</t>
    <phoneticPr fontId="2" type="noConversion"/>
  </si>
  <si>
    <t>느려지면 완제품 교체 감가(150만원/2년)</t>
    <phoneticPr fontId="2" type="noConversion"/>
  </si>
  <si>
    <t>대리점/브랜드 정품 구매</t>
    <phoneticPr fontId="2" type="noConversion"/>
  </si>
  <si>
    <t>부품 직구</t>
    <phoneticPr fontId="2" type="noConversion"/>
  </si>
  <si>
    <t>최적 스펙 통일 방어</t>
    <phoneticPr fontId="2" type="noConversion"/>
  </si>
  <si>
    <t>센터의 과잉 정비 적용</t>
    <phoneticPr fontId="2" type="noConversion"/>
  </si>
  <si>
    <t>마리 알림으로 즉각 자가 처리</t>
    <phoneticPr fontId="2" type="noConversion"/>
  </si>
  <si>
    <t>노동하지말고, 설정만 비틀어서 5분이내 구현하라</t>
    <phoneticPr fontId="2" type="noConversion"/>
  </si>
  <si>
    <t>한 제품 특징 여러 분야 적용</t>
  </si>
  <si>
    <t>외벽 한기 제거용 가스 소비</t>
  </si>
  <si>
    <t>옆/위/아래 아파트 온기 공유</t>
  </si>
  <si>
    <t>효과 발생 부분에만 비용 투입</t>
  </si>
  <si>
    <t>동선 내 접촉 구역만 온수매트</t>
  </si>
  <si>
    <t>동일 기능 가지는 대체품 활용</t>
  </si>
  <si>
    <t>전용 정품 프레임 구입 및 교환</t>
  </si>
  <si>
    <t>고가 제철/프리미엄 과일 구매</t>
  </si>
  <si>
    <t>오디오용 멀티탭 생산 (굵은 전선)</t>
  </si>
  <si>
    <t>프리미엄 티 브랜드 완제품 구매</t>
  </si>
  <si>
    <t>소니 헤드폰 + 블루투스 리시버</t>
  </si>
  <si>
    <t>배터리 수명 짧은 무선 기기 기변</t>
  </si>
  <si>
    <t>유선 명기 + 리시버 교체 영구 사용</t>
  </si>
  <si>
    <t>부품 교환하여 전체 set 수명 개선</t>
  </si>
  <si>
    <t>모바일 기기 케이스, 보호유리 보수</t>
  </si>
  <si>
    <t>중고 사서 초기 감가상각 회피</t>
  </si>
  <si>
    <t>필요한 기능만 있는 제품 구입</t>
  </si>
  <si>
    <t>내의: 국산 대량 구입 통일</t>
  </si>
  <si>
    <t>이너: 아울렛 매대 기능성 구입</t>
  </si>
  <si>
    <t>실질적 내구도 보고 소모품 교환</t>
  </si>
  <si>
    <t>엔진오일: 데이터 기반 보충/적기교환</t>
  </si>
  <si>
    <t>사전 유지보수 통한 고장 방지</t>
  </si>
  <si>
    <t>시계 tool 사서 배터리 자가교환</t>
  </si>
  <si>
    <t>물 섞어 쓰는 방식으로 비용 절감</t>
  </si>
  <si>
    <t>알약 형식 차유리 세정제 사용</t>
  </si>
  <si>
    <t>생활명품 정기 구입 다른 지출 차단</t>
  </si>
  <si>
    <t>소분 통해 한 번 구매/여러 곳 사용</t>
  </si>
  <si>
    <t>단위 큰 후추, 소금 소분 지인 나눔</t>
  </si>
  <si>
    <t>리턴 자산화 (나눔 후 폐기 제로)</t>
  </si>
  <si>
    <t>오래된 아이맥 인터넷/유튜브 전용</t>
  </si>
  <si>
    <t>오래된 태블릿은 전자 액자</t>
  </si>
  <si>
    <t>스마트 리모컨 추가 구매 안 함</t>
  </si>
  <si>
    <t>필요 물품 새것 무조건 구매 안 함</t>
  </si>
  <si>
    <t>조건을 맞추려는 불필요 소비 증가</t>
  </si>
  <si>
    <t>무분별한 렌탈 구독 무수행</t>
  </si>
  <si>
    <t>미리알림 app 사전 등록 및 반복</t>
  </si>
  <si>
    <t>bricoleur: 도구를 닥치는 대로 조합해 만드는 예술가</t>
    <phoneticPr fontId="2" type="noConversion"/>
  </si>
  <si>
    <t>‘브리콜레르(bricoleur)’는 레비스트로스의 『야생의 사고』에서 유래한 개념으로, 주어진 재료와 도구를 자유롭게 조합해 문제를 해결하는 ‘손재주꾼’ 또는 ‘현장형 실천형 지식인’을 뜻합니다.
아트앤스터디
+1
 이 개념은 엔지니어링(설계·계획 중심)과 대비되며, 제한된 자원 속에서 즉흥적으로 창의적 해결책을 만드는 방식으로 설명됩니다.</t>
    <phoneticPr fontId="2" type="noConversion"/>
  </si>
  <si>
    <t>일반인 (Consumer)</t>
  </si>
  <si>
    <t>노동자 (Laborer)</t>
  </si>
  <si>
    <t>노동자_활동</t>
  </si>
  <si>
    <t>설계자 (Architect)</t>
  </si>
  <si>
    <t>설계자_활동</t>
  </si>
  <si>
    <t>일반인과 동일하게 각각 구매</t>
  </si>
  <si>
    <t>일반인과 동일한 가스 소비</t>
  </si>
  <si>
    <t>일반인과 동일하게 전체 가동</t>
  </si>
  <si>
    <t>최저가 호환 프레임 검색에 2시간 소모</t>
  </si>
  <si>
    <t>스틸자 5분 튜닝 무한 재활용</t>
  </si>
  <si>
    <t>마트 마감 세일 과자/과일 수령 노동</t>
  </si>
  <si>
    <t>당근 구형 거치대 직거래 거래 매몰</t>
  </si>
  <si>
    <t>완제품 구매 안 함 (관심 없음)</t>
  </si>
  <si>
    <t>자작 카페 글 보며 주말 내내 납땜 노동</t>
  </si>
  <si>
    <t>부품 소싱 후 5분 내 결선 자작</t>
  </si>
  <si>
    <t>브랜드 커피 전문점 무심코 이용</t>
  </si>
  <si>
    <t>가성비 저가 커피숍 찾아 원정 통근</t>
  </si>
  <si>
    <t>Top tier 원두 소싱 직접 추출</t>
  </si>
  <si>
    <t>마트 보급형 현미녹차 대량 구매</t>
  </si>
  <si>
    <t>인테리어 포기 (불 끄고 삶)</t>
  </si>
  <si>
    <t>부품 소싱 및 5분 자작</t>
  </si>
  <si>
    <t>짝퉁 가성비 무선 이어폰 잦은 고장교체</t>
  </si>
  <si>
    <t>무료 우회 결제/웹 서핑 시간 낭비</t>
  </si>
  <si>
    <t>산이나 들에서 흙 파오기 육체 노동</t>
  </si>
  <si>
    <t>주말 하루 통째로 반납하여 시공 노동</t>
  </si>
  <si>
    <t>인터넷 부품 원가 연환산 (5분 컷)</t>
  </si>
  <si>
    <t>브랜드 렌탈 케어 서비스 상납</t>
  </si>
  <si>
    <t>스패너 들고 고전하며 필터 수동 조립</t>
  </si>
  <si>
    <t>호환 필터 구입 (원터치 1분 교체)</t>
  </si>
  <si>
    <t>청소 업체 호출 서비스</t>
  </si>
  <si>
    <t>철수세미로 손목 나갈 때까지 박박 문지름</t>
  </si>
  <si>
    <t>과탄산소다 전용 세제 5분 불림 세척</t>
  </si>
  <si>
    <t>느려지면 완제품 교체 감가 상납</t>
  </si>
  <si>
    <t>사양 맞추려 밤새 커뮤니티 정독 노동</t>
  </si>
  <si>
    <t>병목 부품만 깔끔하게 정밀 업그레이드</t>
  </si>
  <si>
    <t>공식 AS 호출비 및 수리비 지불</t>
  </si>
  <si>
    <t>동네 전포 다 뒤져가며 부품 구하러 다님</t>
  </si>
  <si>
    <t>퓨즈 원가 직구 세팅</t>
  </si>
  <si>
    <t>대리점/브랜드 정품 비싸게 구매</t>
  </si>
  <si>
    <t>가성비 알리 배송 한 달 기다림 대기 매몰</t>
  </si>
  <si>
    <t>부품 직구 사전 구비</t>
  </si>
  <si>
    <t>일반인은 미수행 (신발 조기 폐기)</t>
  </si>
  <si>
    <t>노동자도 미수행 (그냥 참고 신음)</t>
  </si>
  <si>
    <t>다이소 깔창 교체로 쾌적 유지</t>
  </si>
  <si>
    <t>일반인 기준 제외 (관심 없음)</t>
  </si>
  <si>
    <t>감가 끝난 명기 중고 데이터 기반 방어</t>
  </si>
  <si>
    <t>중고품 소싱 및 명징한 재당근 방어</t>
  </si>
  <si>
    <t>고장 난 벽돌 매물 주워와 고치느라 고생</t>
  </si>
  <si>
    <t>중고 맥/미니 PC 가성비 헌터</t>
  </si>
  <si>
    <t>상태 불량 매물 잘못 사서 이중 지출 고생</t>
  </si>
  <si>
    <t>당근에서 검증된 명품 중고 소싱</t>
  </si>
  <si>
    <t>중고 직거래하러 왕복 1시간 운전 노동</t>
  </si>
  <si>
    <t>중고 거래 영리한 활용</t>
  </si>
  <si>
    <t>헬스장 거리 멀어도 무조건 싼 곳 결제</t>
  </si>
  <si>
    <t>당근마켓 양도권 스마트 활용</t>
  </si>
  <si>
    <t>하이엔드 브랜드 렌탈/구독료 상납</t>
  </si>
  <si>
    <t>필터 물세척해서 쓰려다 성능 망가뜨림</t>
  </si>
  <si>
    <t>얼음/케어 포함 브랜드 렌탈 상납</t>
  </si>
  <si>
    <t>생수 최저가 검색 후 매번 문앞 이동 노동</t>
  </si>
  <si>
    <t>복합식/과보조 기능 가습기 감가 상납</t>
  </si>
  <si>
    <t>수동 세척 힘든 구조 매일 닦느라 고생</t>
  </si>
  <si>
    <t>자연기화식 기본 스펙 설정 분해 세척</t>
  </si>
  <si>
    <t>피시방 중고 마우스 주워와 고쳐 씀</t>
  </si>
  <si>
    <t>가성비 최적화 명기 기기 세팅</t>
  </si>
  <si>
    <t>브랜드/백화점 내의 낱개 구매 누수</t>
  </si>
  <si>
    <t>다이소 초저가 내의 사서 금방 늘어남</t>
  </si>
  <si>
    <t>신상/브랜드 이너웨어 구매 페이로드</t>
  </si>
  <si>
    <t>구제 시장 뒤져가며 옷 고르는 시간 낭비</t>
  </si>
  <si>
    <t>매대 기능성 의류 원가 소싱</t>
  </si>
  <si>
    <t>오버스펙 게이밍/브랜드 감가 상납</t>
  </si>
  <si>
    <t>중고 깨진 모니터 들고 와 수리 시도</t>
  </si>
  <si>
    <t>프로/셀룰러 사고 밥 먹을 때 유튜브 거치</t>
  </si>
  <si>
    <t>가성비 중국산 탭 샀다가 벽돌 되어 방치</t>
  </si>
  <si>
    <t>일반형 본질 스펙 영리한 유지</t>
  </si>
  <si>
    <t>유행 타는 식기 세트 잦은 기변 누수</t>
  </si>
  <si>
    <t>다이소 플라스틱 식기 유해물질 노출 위험</t>
  </si>
  <si>
    <t>반영구적 실질 기능 명품 식기</t>
  </si>
  <si>
    <t>일반인 기준 제외 (윈도우 놋북 한대 끝)</t>
  </si>
  <si>
    <t>조립 PC 호환성 꼬여 주말 내내 포맷 반복</t>
  </si>
  <si>
    <t>64GB RAM 코어 집중 롱런 설계</t>
  </si>
  <si>
    <t>센터의 과잉 정비 스크립트 그대로 수행</t>
  </si>
  <si>
    <t>공임나라 최저가 찾으려 원정 정비 노동</t>
  </si>
  <si>
    <t>밑창 닳으면 신발 통째 폐기 및 재구입</t>
  </si>
  <si>
    <t>다이소 구두약으로 문지르다 가죽 망가뜨림</t>
  </si>
  <si>
    <t>매장 방문 및 과도한 교체 수리비 지불</t>
  </si>
  <si>
    <t>이쑤시개로 뜯다 시계 기스 내고 고장</t>
  </si>
  <si>
    <t>건전지 부품 원가 세팅</t>
  </si>
  <si>
    <t>숫돌에 물 부어가며 주말 내내 칼 가는 노동</t>
  </si>
  <si>
    <t>툴 하나로 10초 무한 보수</t>
  </si>
  <si>
    <t>대형 페트병 워셔액 매번 구매/이동</t>
  </si>
  <si>
    <t>폐차장이나 정비소 잉여 워셔액 구걸 트래픽</t>
  </si>
  <si>
    <t>무거운 페트병 음료 박스 단위 구매/노동</t>
  </si>
  <si>
    <t>저가 보급형 대용량 현미녹차 쟁여두기</t>
  </si>
  <si>
    <t>찻잎/티백 + 정수기 직수 활용</t>
  </si>
  <si>
    <t>부피 큰 맥주 구매 및 페트병 분리수거 지옥</t>
  </si>
  <si>
    <t>초저가 발포주 대량 구매하여 배부름 가중</t>
  </si>
  <si>
    <t>세계과자할인점 투어 원정 소비 노동</t>
  </si>
  <si>
    <t>여행/운동용 트래블 키트 매번 구매 누수</t>
  </si>
  <si>
    <t>대용량 통째로 가방에 무겁게 들고 다님</t>
  </si>
  <si>
    <t>본품 용기 소분화</t>
  </si>
  <si>
    <t>굳어버린 양념 억지로 쓰다 음식 망침</t>
  </si>
  <si>
    <t>기존 기기 고장 시 폐기 후 서브 PC 구매</t>
  </si>
  <si>
    <t>고장 난 모니터 부품 교체하려다 완전 고장</t>
  </si>
  <si>
    <t>새로운 보직/임무 부여 (모듈화)</t>
  </si>
  <si>
    <t>중고로 단돈 만 원에 팔려고 왕복 직거래</t>
  </si>
  <si>
    <t>노동자도 스마트 홈 포기</t>
  </si>
  <si>
    <t>데스크탑 Mac 추가 구매 감가상각 상납</t>
  </si>
  <si>
    <t>사양 부족한 서브 노트북 붙잡고 부팅 대기</t>
  </si>
  <si>
    <t>필요 없는 유휴 쓰레기까지 받아와 방치</t>
  </si>
  <si>
    <t>유휴 자산 네트워크 정확히 활용</t>
  </si>
  <si>
    <t>카드 5개 실적 쪼개기 계산하느라 인지 폭발</t>
  </si>
  <si>
    <t>포트 1개 한정 과소비 사전 차단</t>
  </si>
  <si>
    <t>구독 혜택 뽕 뽑으려 밤새 의무 시청 피로</t>
  </si>
  <si>
    <t>필수 인프라 외 접근 토큰 만료</t>
  </si>
  <si>
    <t>교체 시기 도과 에러 방치</t>
  </si>
  <si>
    <t>주기 기억 못 해 찜찜해하며 방치</t>
  </si>
  <si>
    <t>미리 알림 트리거로 즉각 자가 정비</t>
  </si>
  <si>
    <t>냉장고 블랙홀에서 썩혀 버리는 비용 상납</t>
  </si>
  <si>
    <t>유통기한 지난 음식 아깝다고 먹다 배탈</t>
  </si>
  <si>
    <t>합계</t>
  </si>
  <si>
    <r>
      <rPr>
        <sz val="10"/>
        <color theme="1"/>
        <rFont val="Noto Sans KR"/>
        <family val="2"/>
        <charset val="129"/>
      </rPr>
      <t>셀프작업하다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집안에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냄새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가득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노동</t>
    </r>
    <phoneticPr fontId="2" type="noConversion"/>
  </si>
  <si>
    <r>
      <rPr>
        <sz val="10"/>
        <color theme="1"/>
        <rFont val="Noto Sans KR"/>
        <family val="2"/>
        <charset val="129"/>
      </rPr>
      <t>최저가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못난이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견과류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검색, 안먹고 버림</t>
    </r>
    <phoneticPr fontId="2" type="noConversion"/>
  </si>
  <si>
    <r>
      <rPr>
        <sz val="10"/>
        <color theme="1"/>
        <rFont val="Noto Sans KR"/>
        <family val="2"/>
        <charset val="129"/>
      </rPr>
      <t>밤낮으로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장터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매물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사기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검증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스트레스로 slr카메라, 렌즈 구입후 호환 지옥</t>
    </r>
    <phoneticPr fontId="2" type="noConversion"/>
  </si>
  <si>
    <r>
      <rPr>
        <sz val="10"/>
        <color theme="1"/>
        <rFont val="Noto Sans KR"/>
        <family val="2"/>
        <charset val="129"/>
      </rPr>
      <t>당근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키워드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알림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보며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무한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잠복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스트레스받다가 최신 국내, 중국산 오디오 구입</t>
    </r>
    <phoneticPr fontId="2" type="noConversion"/>
  </si>
  <si>
    <t>목차</t>
    <phoneticPr fontId="2" type="noConversion"/>
  </si>
  <si>
    <t>서문</t>
    <phoneticPr fontId="2" type="noConversion"/>
  </si>
  <si>
    <t>내용</t>
    <phoneticPr fontId="2" type="noConversion"/>
  </si>
  <si>
    <t>지출 관리</t>
    <phoneticPr fontId="2" type="noConversion"/>
  </si>
  <si>
    <t>개념, 3개의 타입, 지출 형태 및 결과표</t>
    <phoneticPr fontId="2" type="noConversion"/>
  </si>
  <si>
    <t>지출관리 방법론</t>
    <phoneticPr fontId="2" type="noConversion"/>
  </si>
  <si>
    <t>비용절감 14개, 관리 3개 각각에 대한 설명 및 사례 제시</t>
    <phoneticPr fontId="2" type="noConversion"/>
  </si>
  <si>
    <t>집필 목적: 설명이 아닌 공감대 형성, 계산/미리알림 양식 공유를 통한 실행 관리</t>
    <phoneticPr fontId="2" type="noConversion"/>
  </si>
  <si>
    <t>Resource</t>
    <phoneticPr fontId="2" type="noConversion"/>
  </si>
  <si>
    <t>시간</t>
    <phoneticPr fontId="2" type="noConversion"/>
  </si>
  <si>
    <t>나에 대한 선물주기</t>
    <phoneticPr fontId="2" type="noConversion"/>
  </si>
  <si>
    <t>페이지</t>
    <phoneticPr fontId="2" type="noConversion"/>
  </si>
  <si>
    <t>활용 개념과 5대 과제</t>
    <phoneticPr fontId="2" type="noConversion"/>
  </si>
  <si>
    <t>선순환 효과</t>
    <phoneticPr fontId="2" type="noConversion"/>
  </si>
  <si>
    <t>시간 관리</t>
    <phoneticPr fontId="2" type="noConversion"/>
  </si>
  <si>
    <t>관리 결과 시간/비용 변화 도표(as is vs. to be를 input, consumption, balance로 표현)</t>
    <phoneticPr fontId="2" type="noConversion"/>
  </si>
  <si>
    <t>합계</t>
    <phoneticPr fontId="2" type="noConversion"/>
  </si>
  <si>
    <t>설계자</t>
    <phoneticPr fontId="2" type="noConversion"/>
  </si>
  <si>
    <t>노동자</t>
    <phoneticPr fontId="2" type="noConversion"/>
  </si>
  <si>
    <t>year</t>
    <phoneticPr fontId="2" type="noConversion"/>
  </si>
  <si>
    <t>기초</t>
    <phoneticPr fontId="2" type="noConversion"/>
  </si>
  <si>
    <t>수익</t>
    <phoneticPr fontId="2" type="noConversion"/>
  </si>
  <si>
    <t>기말</t>
    <phoneticPr fontId="2" type="noConversion"/>
  </si>
  <si>
    <t>천원</t>
    <phoneticPr fontId="2" type="noConversion"/>
  </si>
  <si>
    <t>수입</t>
    <phoneticPr fontId="2" type="noConversion"/>
  </si>
  <si>
    <t>Balance</t>
    <phoneticPr fontId="2" type="noConversion"/>
  </si>
  <si>
    <t>제어 지출</t>
    <phoneticPr fontId="2" type="noConversion"/>
  </si>
  <si>
    <t>고정 지출</t>
    <phoneticPr fontId="2" type="noConversion"/>
  </si>
  <si>
    <t>지출항목 연계</t>
    <phoneticPr fontId="2" type="noConversion"/>
  </si>
  <si>
    <t>random</t>
    <phoneticPr fontId="2" type="noConversion"/>
  </si>
  <si>
    <t>설계자-일반인</t>
    <phoneticPr fontId="2" type="noConversion"/>
  </si>
  <si>
    <t>설계자-노동자</t>
    <phoneticPr fontId="2" type="noConversion"/>
  </si>
  <si>
    <t>대분류</t>
  </si>
  <si>
    <t>소분류</t>
  </si>
  <si>
    <t>항목명</t>
  </si>
  <si>
    <t>설계자 접근 핵심</t>
  </si>
  <si>
    <t>설계자_월</t>
  </si>
  <si>
    <t>일반인_월</t>
  </si>
  <si>
    <t>노동자_월</t>
  </si>
  <si>
    <t>싱글남</t>
  </si>
  <si>
    <t>싱글여</t>
  </si>
  <si>
    <t>커플</t>
  </si>
  <si>
    <t>가족(육아)</t>
  </si>
  <si>
    <t>시니어</t>
  </si>
  <si>
    <t>주거</t>
  </si>
  <si>
    <t>위치/임대</t>
  </si>
  <si>
    <t>위치 포지셔닝</t>
  </si>
  <si>
    <t>교통+생활권 균형 잡힌 중간 위치 선택</t>
  </si>
  <si>
    <t>냉난방</t>
  </si>
  <si>
    <t>가구/인테리어</t>
  </si>
  <si>
    <t>대체품·중고</t>
  </si>
  <si>
    <t>공기청정기</t>
  </si>
  <si>
    <t>샤오미 + 3rd party 필터 직접 교체</t>
  </si>
  <si>
    <t>정수기</t>
  </si>
  <si>
    <t>가습기</t>
  </si>
  <si>
    <t>샤오미 저가형으로 충분</t>
  </si>
  <si>
    <t>조명</t>
  </si>
  <si>
    <t>LED 전구 + 한지로 직접 제작</t>
  </si>
  <si>
    <t>유지보수 (조명·힌지·문고리)</t>
  </si>
  <si>
    <t>직접 교환</t>
  </si>
  <si>
    <t>공구 구비 후 셀프 교체</t>
  </si>
  <si>
    <t>비데 필터</t>
  </si>
  <si>
    <t>자가 교환</t>
  </si>
  <si>
    <t>필터 직구 후 직접 교체</t>
  </si>
  <si>
    <t>가스레인지</t>
  </si>
  <si>
    <t>자가 세척</t>
  </si>
  <si>
    <t>통신비</t>
  </si>
  <si>
    <t>청소·세탁용품</t>
  </si>
  <si>
    <t>침구</t>
  </si>
  <si>
    <t>교통</t>
  </si>
  <si>
    <t>△</t>
  </si>
  <si>
    <t>자동차 보험</t>
  </si>
  <si>
    <t>포지셔닝</t>
  </si>
  <si>
    <t>식재료</t>
  </si>
  <si>
    <t>식기·조리도구</t>
  </si>
  <si>
    <t>right spec·내구성</t>
  </si>
  <si>
    <t>칼·주방도구 유지보수</t>
  </si>
  <si>
    <t>직접 보수</t>
  </si>
  <si>
    <t>이케아 칼갈이로 자가 연마</t>
  </si>
  <si>
    <t>양념·소모품</t>
  </si>
  <si>
    <t>소분·나눔</t>
  </si>
  <si>
    <t>후추·소금 대용량 구입 후 지인 소분</t>
  </si>
  <si>
    <t>외식</t>
  </si>
  <si>
    <t>배달</t>
  </si>
  <si>
    <t>건강보조제·비타민</t>
  </si>
  <si>
    <t>속옷·내의 (남성)</t>
  </si>
  <si>
    <t>대량 통일 구입</t>
  </si>
  <si>
    <t>아우터·이너</t>
  </si>
  <si>
    <t>아울렛</t>
  </si>
  <si>
    <t>기능성 이너 아울렛 매대 구입</t>
  </si>
  <si>
    <t>신발 밑창</t>
  </si>
  <si>
    <t>수선</t>
  </si>
  <si>
    <t>가죽제품</t>
  </si>
  <si>
    <t>개인용품 (샴푸·바디워시)</t>
  </si>
  <si>
    <t>소분 용기 활용</t>
  </si>
  <si>
    <t>대용량 구입 후 소분 용기 이용</t>
  </si>
  <si>
    <t>면도기·면도날 (남성)</t>
  </si>
  <si>
    <t>화장품 기초 (스킨·로션·세럼)</t>
  </si>
  <si>
    <t>화장품 색조</t>
  </si>
  <si>
    <t>헤어케어 (염색·펌)</t>
  </si>
  <si>
    <t>건강</t>
  </si>
  <si>
    <t>안경·렌즈</t>
  </si>
  <si>
    <t>커피</t>
  </si>
  <si>
    <t>차·음료</t>
  </si>
  <si>
    <t>주류</t>
  </si>
  <si>
    <t>X</t>
  </si>
  <si>
    <t>간식·견과류</t>
  </si>
  <si>
    <t>오디오</t>
  </si>
  <si>
    <t>중고+DIY</t>
  </si>
  <si>
    <t>90~2000년대 중고 오디오 컴포넌트</t>
  </si>
  <si>
    <t>사진·카메라</t>
  </si>
  <si>
    <t>중고</t>
  </si>
  <si>
    <t>중형 카메라·렌즈 중고 구입</t>
  </si>
  <si>
    <t>스포츠 용품</t>
  </si>
  <si>
    <t>중고+right spec</t>
  </si>
  <si>
    <t>비일상 가방</t>
  </si>
  <si>
    <t>피트니스</t>
  </si>
  <si>
    <t>반려식물</t>
  </si>
  <si>
    <t>소형 포트 화분 직접 육성</t>
  </si>
  <si>
    <t>여성 취미 (공예·요가·필라테스)</t>
  </si>
  <si>
    <t>반려동물 사료</t>
  </si>
  <si>
    <t>성분표 기반 선택 / 대용량 직구</t>
  </si>
  <si>
    <t>반려동물 병원</t>
  </si>
  <si>
    <t>예방 중심</t>
  </si>
  <si>
    <t>반려동물 미용</t>
  </si>
  <si>
    <t>PC 업그레이드</t>
  </si>
  <si>
    <t>RAM/SSD 추가로 교체 없이 수명 연장</t>
  </si>
  <si>
    <t>Self-hosting</t>
  </si>
  <si>
    <t>Nextcloud 등으로 클라우드 구독료 제로화</t>
  </si>
  <si>
    <t>마우스·키보드</t>
  </si>
  <si>
    <t>로지텍 기본·독거미 키보드</t>
  </si>
  <si>
    <t>모니터</t>
  </si>
  <si>
    <t>120hz 4K 한번 구입 후 장기 사용</t>
  </si>
  <si>
    <t>태블릿 (아이패드)</t>
  </si>
  <si>
    <t>일반형 wifi 모델</t>
  </si>
  <si>
    <t>고성능 PC·Mac</t>
  </si>
  <si>
    <t>집중 투자 후 재활용</t>
  </si>
  <si>
    <t>구형 기기 재활용</t>
  </si>
  <si>
    <t>스트리밍 서비스</t>
  </si>
  <si>
    <t>다용도 제품 (WD-40·바세린·니베아)</t>
  </si>
  <si>
    <t>한 제품을 여러 용도로 활용</t>
  </si>
  <si>
    <t>세정제·소모품</t>
  </si>
  <si>
    <t>농축 알약 세정제·대용량 구입</t>
  </si>
  <si>
    <t>전자제품 퓨즈</t>
  </si>
  <si>
    <t>직접 교체</t>
  </si>
  <si>
    <t>모바일 케이스·보호유리</t>
  </si>
  <si>
    <t>시계 배터리</t>
  </si>
  <si>
    <t>시계 tool 구입 후 자가 교환</t>
  </si>
  <si>
    <t>엔진오일</t>
  </si>
  <si>
    <t>데이터 기반 보충·적기 교환</t>
  </si>
  <si>
    <t>신발 깔창</t>
  </si>
  <si>
    <t>소모품화</t>
  </si>
  <si>
    <t>다이소 깔창 자주 교환으로 사용감 유지</t>
  </si>
  <si>
    <t>문화</t>
  </si>
  <si>
    <t>자기계발 강의</t>
  </si>
  <si>
    <t>경조사</t>
  </si>
  <si>
    <t>경조사비</t>
  </si>
  <si>
    <t>선물</t>
  </si>
  <si>
    <t>데이트·모임 외식</t>
  </si>
  <si>
    <t>가성비 장소 선별 / 집밥 모임 병행</t>
  </si>
  <si>
    <t>여행</t>
  </si>
  <si>
    <t>숙박</t>
  </si>
  <si>
    <t>해외 여행</t>
  </si>
  <si>
    <t>육아</t>
  </si>
  <si>
    <t>장난감</t>
  </si>
  <si>
    <t>아이 의류</t>
  </si>
  <si>
    <t>육아 용품 (유모차·바운서 등)</t>
  </si>
  <si>
    <t>신용카드</t>
  </si>
  <si>
    <t>1개 운영</t>
  </si>
  <si>
    <t>구독 서비스 전체</t>
  </si>
  <si>
    <t>주기적 점검</t>
  </si>
  <si>
    <t>유효기간 관리</t>
  </si>
  <si>
    <t>미리알림 앱</t>
  </si>
  <si>
    <t>필터·식재료·보험·면허 유효기간 앱 등록</t>
  </si>
  <si>
    <t>보험</t>
  </si>
  <si>
    <t>자동이체 점검</t>
  </si>
  <si>
    <t>주기적 감사</t>
  </si>
  <si>
    <t>불필요 자동이체 연 2회 전체 확인</t>
  </si>
  <si>
    <t>육아 관련 정부 지원</t>
  </si>
  <si>
    <t>아동수당·육아휴직·공공 보육시설 최대 활용</t>
  </si>
  <si>
    <t>온수매트로 방 전체 난방 대신 국소 난방</t>
  </si>
  <si>
    <t>전열교환기 프레임에 스틸자 / 이케아+중고 조합</t>
  </si>
  <si>
    <t>필터 직구 후 자가 교환 (렌탈 불필요)</t>
  </si>
  <si>
    <t>기름망 직접 세척 (청소업체 불필요)</t>
  </si>
  <si>
    <t>공기계+알뜰폰</t>
  </si>
  <si>
    <t>청소기</t>
  </si>
  <si>
    <t>신일 등 저가 무선 청소기 (다이슨 대비 동일 효과)</t>
  </si>
  <si>
    <t>솜이불 기준</t>
  </si>
  <si>
    <t>마일리지+운전점수+블랙박스</t>
  </si>
  <si>
    <t>대체품+제철</t>
  </si>
  <si>
    <t>놋쇠 수저·세라믹 식기 한번 구입 후 장기 사용</t>
  </si>
  <si>
    <t>네트워킹 목적 한정</t>
  </si>
  <si>
    <t>비추</t>
  </si>
  <si>
    <t>흡수율 기반 최소 섭취</t>
  </si>
  <si>
    <t>비브람 밑창 교환으로 신발 수명 연장</t>
  </si>
  <si>
    <t>가죽 정기 컨디셔닝으로 수명 연장</t>
  </si>
  <si>
    <t>질레트+고무판+클렌징폼</t>
  </si>
  <si>
    <t>고품질 질레트 대량 구입 + 고무판으로 날 수명 연장 + 클렌징폼을 면도크림 대용</t>
  </si>
  <si>
    <t>성분 기반 더마 브랜드</t>
  </si>
  <si>
    <t>minimalist 1세트</t>
  </si>
  <si>
    <t>daily 1세트로 통일 / 단종 임박 할인 구입</t>
  </si>
  <si>
    <t>홈 트리트먼트 병행</t>
  </si>
  <si>
    <t>미용실 주기 늘리기 + 홈 트리트먼트로 보완</t>
  </si>
  <si>
    <t>치과 예방</t>
  </si>
  <si>
    <t>물리적 예방 관리</t>
  </si>
  <si>
    <t>고가 1개 장기 사용</t>
  </si>
  <si>
    <t>등산·낚시·골프채 중고 구입</t>
  </si>
  <si>
    <t>원데이 우선</t>
  </si>
  <si>
    <t>원데이 클래스로 먼저 체험 → 정기 등록 결정</t>
  </si>
  <si>
    <t>예방접종·정기검진 준수로 치료비 예방</t>
  </si>
  <si>
    <t>Mac Studio CPU/RAM에만 집중투자 / 구형은 재활용</t>
  </si>
  <si>
    <t>아이맥→인터넷전용 / 아이폰→리모컨 / 맥북→크램쉘</t>
  </si>
  <si>
    <t>1개 구독·제대로 볼 것</t>
  </si>
  <si>
    <t>1개만 구독 후 완전히 활용 / 광고형 요금제 또는 가족 계정 공유</t>
  </si>
  <si>
    <t>기준선 설정</t>
  </si>
  <si>
    <t>상대 필요 기반</t>
  </si>
  <si>
    <t>상대가 필요한 것 기반 / 과시형 브랜드 프리미엄 배제</t>
  </si>
  <si>
    <t>모임 주류 (코키지)</t>
  </si>
  <si>
    <t>코키지 활용</t>
  </si>
  <si>
    <t>평일 활용+대체 숙소</t>
  </si>
  <si>
    <t>일·월·화·수·목 휴가로 주말 프리미엄 방지 / 에어비앤비·캠핑·지인 집 활용</t>
  </si>
  <si>
    <t>비수기+마일리지</t>
  </si>
  <si>
    <t>비수기 선택 / 마일리지 카드 적립 후 비즈니스석</t>
  </si>
  <si>
    <t>중고+세척</t>
  </si>
  <si>
    <t>당근 중고 구입 / 빨래망 세척으로 위생 해결</t>
  </si>
  <si>
    <t>지인 네트워크 우선</t>
  </si>
  <si>
    <t>중고 구입 / 필요 기간만 사용 (특히 유모차)</t>
  </si>
  <si>
    <t>할인카드 1개만 / 조건 맞추려는 불필요 소비 차단</t>
  </si>
  <si>
    <t>매일 쓰는 것만 유지 / 연 1회 전체 검토</t>
  </si>
  <si>
    <t>실손 1개+재테크</t>
  </si>
  <si>
    <t>절세 투자 (ISA·IRP)</t>
  </si>
  <si>
    <t>ISA 우선</t>
  </si>
  <si>
    <t>공공 복지 서비스</t>
  </si>
  <si>
    <t>구청 수영장·문화센터·시니어 돌봄 서비스 등 납세 서비스 최대 활용</t>
  </si>
  <si>
    <t>효과 부위만 투자</t>
  </si>
  <si>
    <t>공기계 구입 후 알뜰폰 조합 / 아이폰 계약 만료 후 장기 사용</t>
  </si>
  <si>
    <t>농축 세제 소분 / 다회용 행주로 키친타올 대체</t>
  </si>
  <si>
    <t>솜이불 사용 (no goose down) — 내용연한 유사, 촉감 좋고 털 날림 없음</t>
  </si>
  <si>
    <t>다이렉트 보험 + 마일리지·운전점수·블랙박스 할인 적용</t>
  </si>
  <si>
    <t>토마토로 과일 대체 / 제철 식재료 위주</t>
  </si>
  <si>
    <t>네트워킹할 때만 외식 / 집밥이 더 간편하고 효율적</t>
  </si>
  <si>
    <t>대기+뒷처리 비효율 / 기름·당분 과다 → 집밥 또는 픽업</t>
  </si>
  <si>
    <t>성분표 기반 선택 / 흡수율 감안해 직관 대비 1/2만 섭취</t>
  </si>
  <si>
    <t>닥터지·코스알엑스·바이오더마·세타필 등 (백화점 프리미엄 불필요)</t>
  </si>
  <si>
    <t>이쑤시개·치실·물분사기로 일상 물리적 관리 → 치과 방문 빈도 최소화</t>
  </si>
  <si>
    <t>고품질 안경 1개 장기 사용 / 렌즈는 온라인 직구</t>
  </si>
  <si>
    <t>셀프 목욕·빗질 (반려동물과의 시간으로 인식)</t>
  </si>
  <si>
    <t>유튜브·무료 MOOC 우선 → 유료는 검증 후 / 책·전문가 콘텐츠로 대체</t>
  </si>
  <si>
    <t>금액 기준선 사전 설정 (방법론적 기준 제시 / 개인 판단 영역)</t>
  </si>
  <si>
    <t>고가 소주·꼬냑·위스키 제외 주류는 코키지 비용 내고 직접 가져가기</t>
  </si>
  <si>
    <t>지인 네트워크로 받기 우선 / 당근으로 보완</t>
  </si>
  <si>
    <t>실손 보험 외 전액 재테크 / 중복 보험 제거</t>
  </si>
  <si>
    <t>ISA 비과세 한도 우선 / IRP는 장기 관점으로 유동성과 절세 균형</t>
  </si>
  <si>
    <t>평가</t>
    <phoneticPr fontId="2" type="noConversion"/>
  </si>
  <si>
    <t>drop: 너무 오지랍임</t>
    <phoneticPr fontId="2" type="noConversion"/>
  </si>
  <si>
    <t>이케아 mulig 행거는 저가, 최소 공간, 건조대 활용 가능</t>
    <phoneticPr fontId="2" type="noConversion"/>
  </si>
  <si>
    <t>ikea mulig</t>
    <phoneticPr fontId="2" type="noConversion"/>
  </si>
  <si>
    <t>신규</t>
    <phoneticPr fontId="2" type="noConversion"/>
  </si>
  <si>
    <t>국산 국민내의 대량 구입(좋은 사람들, BYC 등)</t>
    <phoneticPr fontId="2" type="noConversion"/>
  </si>
  <si>
    <t>렌즈 구매 요령 필요한가? 보통은 안경 or 라식 아닌가?</t>
    <phoneticPr fontId="2" type="noConversion"/>
  </si>
  <si>
    <t>게샤 등 고품질 원두 직접 드립 / 드립백 자작 or 드립 필터만 구매</t>
    <phoneticPr fontId="2" type="noConversion"/>
  </si>
  <si>
    <t>녹차 티백도 좋지만, 티백 구입하여 자작하면 품질이 더 나음</t>
    <phoneticPr fontId="2" type="noConversion"/>
  </si>
  <si>
    <t>독주(안동소주, VSOP 꼬냑) +얼음 : 낮은 부피, 안주 과식 방지</t>
    <phoneticPr fontId="2" type="noConversion"/>
  </si>
  <si>
    <t>캐슈넛·야채크래커 등 통일하여 대용량 구입</t>
    <phoneticPr fontId="2" type="noConversion"/>
  </si>
  <si>
    <t>보스턴백 등 중고 구입</t>
    <phoneticPr fontId="2" type="noConversion"/>
  </si>
  <si>
    <t>아파트 헬스장</t>
    <phoneticPr fontId="2" type="noConversion"/>
  </si>
  <si>
    <t>의사 결정 후 구입</t>
    <phoneticPr fontId="2" type="noConversion"/>
  </si>
  <si>
    <t>flexibility</t>
    <phoneticPr fontId="2" type="noConversion"/>
  </si>
  <si>
    <t>연간 회원권 중고 구입</t>
    <phoneticPr fontId="2" type="noConversion"/>
  </si>
  <si>
    <t>추가</t>
    <phoneticPr fontId="2" type="noConversion"/>
  </si>
  <si>
    <t>approach</t>
  </si>
  <si>
    <t>실행방법</t>
  </si>
  <si>
    <t>이케아 mulig 행거: 저가·최소 공간·건조대 겸용</t>
  </si>
  <si>
    <t>비추 — 대기+뒷처리 비효율 / 기름·당분 과다 → 집밥 또는 픽업</t>
  </si>
  <si>
    <t>국산 국민내의 대량 구입 (좋은사람들·BYC 등)</t>
  </si>
  <si>
    <t>게샤 등 고품질 원두 직접 드립 / 드립백 자작 또는 드립 필터만 구매</t>
  </si>
  <si>
    <t>티백 직접 구입해 우리기 — 기성 티백보다 품질 우수</t>
  </si>
  <si>
    <t>독주(안동소주·VSOP 꼬냑) + 얼음 — 부피 낮고 안주 과식 방지</t>
  </si>
  <si>
    <t>캐슈넛·야채크래커 등 통일하여 대용량 구입</t>
  </si>
  <si>
    <t>90~2000년대 중고 오디오 컴포넌트 (당근·세컨웨이브)</t>
  </si>
  <si>
    <t>보스턴백 등 비일상 가방 중고 구입</t>
  </si>
  <si>
    <t>아파트 헬스장 / 구청 헬스장 이용</t>
  </si>
  <si>
    <t>연간 회원권 중고 구입 (체험 후 지속 여부 결정 선행)</t>
  </si>
  <si>
    <t>셀프 목욕·빗질 (반려동물과의 놀이 시간으로 인식)</t>
  </si>
  <si>
    <t>RAM/SSD 추가로 본체 교체 없이 수명 연장</t>
  </si>
  <si>
    <t>소모품화 전략 — 다이소 깔창 자주 교환으로 사용감 유지</t>
  </si>
  <si>
    <t>유튜브·무료 MOOC 우선 → 유료는 검증 후 / 전문가 콘텐츠·책으로 대체</t>
  </si>
  <si>
    <t>할인카드 1개만 — 조건 맞추려는 불필요 소비 차단</t>
  </si>
  <si>
    <t>설계자_가격</t>
  </si>
  <si>
    <t>설계자_내용연수</t>
  </si>
  <si>
    <t>일반인_가격</t>
  </si>
  <si>
    <t>일반인_내용연수</t>
  </si>
  <si>
    <t>노동자_가격</t>
  </si>
  <si>
    <t>노동자_내용연수</t>
  </si>
  <si>
    <t>유형</t>
  </si>
  <si>
    <t>설계자_사용량</t>
  </si>
  <si>
    <t>설계자_단가</t>
  </si>
  <si>
    <t>일반인_사용시간</t>
  </si>
  <si>
    <t>일반인_사용량</t>
  </si>
  <si>
    <t>일반인_단가</t>
  </si>
  <si>
    <t>노동자_사용시간</t>
  </si>
  <si>
    <t>노동자_사용량</t>
  </si>
  <si>
    <t>노동자_단가</t>
  </si>
  <si>
    <t>설계자_소모품가격</t>
  </si>
  <si>
    <t>설계자_소모품내용연수</t>
  </si>
  <si>
    <t>일반인_소모품가격</t>
  </si>
  <si>
    <t>일반인_소모품내용연수</t>
  </si>
  <si>
    <t>노동자_소모품가격</t>
  </si>
  <si>
    <t>노동자_소모품내용연수</t>
  </si>
  <si>
    <t>설계자_사용시간/빈도</t>
    <phoneticPr fontId="2" type="noConversion"/>
  </si>
  <si>
    <t>싱글남_설계자</t>
  </si>
  <si>
    <t>싱글남_설계자_확인</t>
  </si>
  <si>
    <t>싱글남_일반인</t>
  </si>
  <si>
    <t>싱글남_일반인_확인</t>
  </si>
  <si>
    <t>싱글남_노동자</t>
  </si>
  <si>
    <t>싱글남_노동자_확인</t>
  </si>
  <si>
    <t>싱글여_설계자</t>
  </si>
  <si>
    <t>싱글여_설계자_확인</t>
  </si>
  <si>
    <t>싱글여_일반인</t>
  </si>
  <si>
    <t>싱글여_일반인_확인</t>
  </si>
  <si>
    <t>싱글여_노동자</t>
  </si>
  <si>
    <t>싱글여_노동자_확인</t>
  </si>
  <si>
    <t>커플_설계자</t>
  </si>
  <si>
    <t>커플_설계자_확인</t>
  </si>
  <si>
    <t>커플_일반인</t>
  </si>
  <si>
    <t>커플_일반인_확인</t>
  </si>
  <si>
    <t>커플_노동자</t>
  </si>
  <si>
    <t>커플_노동자_확인</t>
  </si>
  <si>
    <t>가족(육아)_설계자</t>
  </si>
  <si>
    <t>가족(육아)_설계자_확인</t>
  </si>
  <si>
    <t>가족(육아)_일반인</t>
  </si>
  <si>
    <t>가족(육아)_일반인_확인</t>
  </si>
  <si>
    <t>가족(육아)_노동자</t>
  </si>
  <si>
    <t>가족(육아)_노동자_확인</t>
  </si>
  <si>
    <t>시니어_설계자</t>
  </si>
  <si>
    <t>시니어_설계자_확인</t>
  </si>
  <si>
    <t>시니어_일반인</t>
  </si>
  <si>
    <t>실행방법_설계자</t>
    <phoneticPr fontId="2" type="noConversion"/>
  </si>
  <si>
    <t>실행방법_일반인</t>
    <phoneticPr fontId="2" type="noConversion"/>
  </si>
  <si>
    <t>실행방법_노동자</t>
    <phoneticPr fontId="2" type="noConversion"/>
  </si>
  <si>
    <t>셀프작업하다 집안에 냄새 가득 노동</t>
  </si>
  <si>
    <t>최저가 못난이 견과류 검색, 안먹고 버림</t>
  </si>
  <si>
    <t>모든 옷은 붙박이 장에 걸고, 건조기 구입</t>
  </si>
  <si>
    <t>뽐뿌 등 성지 카페 매일 잠복하며 불법 보조금 찾느라 수십 시간 낭비</t>
  </si>
  <si>
    <t>마트 1+1 행사 대용량 무지성 구매 / 1회용 물티슈·키친타올 남용</t>
  </si>
  <si>
    <t>최저가 PB 샀다 세정력 떨어져 두 번 세탁 / 천연 세제 직접 제조하다 지침</t>
  </si>
  <si>
    <t>150만 원대 최신 다이슨/비스포크 풀옵션 충동 구매 후 인테리어로 방치</t>
  </si>
  <si>
    <t>3만 원짜리 묻지마 중국산 샀다 6개월 만에 고장나서 또 최저가 검색 무한루프</t>
  </si>
  <si>
    <t>백화점 수백만 원짜리 구스다운 풀세트 할부 결제로 과시 (세탁 감당 못함)</t>
  </si>
  <si>
    <t>시장 매대에서 가장 싼 솜이불 샀다가 세탁 한 번에 숨 죽어버림</t>
  </si>
  <si>
    <t>아는 지인(설계사)에게 묻지도 따지지도 않고 풀옵션 가입 (수수료 상납)</t>
  </si>
  <si>
    <t>다이렉트 가입 후 귀찮아서 마일리지 환급 등 특약 사후 관리 완벽히 누락</t>
  </si>
  <si>
    <t>인스타 핫플 2시간 웨이팅 / 기분 전환 명목 주 3~4회 오마카세 지출</t>
  </si>
  <si>
    <t>가성비 무한리필, 저가 국밥집만 전전하며 건강(나트륨·당)과 체력 잃음</t>
  </si>
  <si>
    <t>퇴근길 피로 핑계로 배민 VIP 유지 / 월 수십만 원 배달비로 고정비 누수</t>
  </si>
  <si>
    <t>배달비 3천 원 아끼겠다고 포장 주문 후 왕복 40분 걸어 다녀오느라 진 뺌</t>
  </si>
  <si>
    <t>홈쇼핑/인플루언서 공구 패키지 대량 결제 후 유통기한 지나서 폐기</t>
  </si>
  <si>
    <t>직구 사이트에서 성분 확인 없이 무조건 알약 수 제일 많은 최저가 구매</t>
  </si>
  <si>
    <t>올리브영 비싼 진동 면도기 세트 + 전용 쉐이빙 폼 정기 구매</t>
  </si>
  <si>
    <t>모텔 일회용품이나 싸구려 다회용 쓰다 트러블 생겨 피부과 약값 더 나감</t>
  </si>
  <si>
    <t>로드샵 1+1 땡처리 할 때만 기다렸다 성분 안 맞아도 억지로 바름</t>
  </si>
  <si>
    <t>뷰티 유튜버 추천 매 시즌 신상 팔레트 다 모음 (화장대 블랙홀 포화)</t>
  </si>
  <si>
    <t>유통기한 임박한 땡처리 화장품 무더기로 샀다 피부 발진 발생</t>
  </si>
  <si>
    <t>대형 미용실 실장의 100만 원 정액권 결제 스크립트에 당해 현금 묶임</t>
  </si>
  <si>
    <t>아플 때까지 방치하다 임플란트·신경치료로 수백만 원 한 번에 탕진</t>
  </si>
  <si>
    <t>양치만 무식하게 세게 오래 하다 치경부 마모증 생겨 레진 치료 받음</t>
  </si>
  <si>
    <t>유행하는 젠틀몬스터 등 브랜드 안경테 다수 소유 / 렌즈 안경점 정가 구매</t>
  </si>
  <si>
    <t>시력에 안 맞는 길거리 싸구려 테 쓰며 눈 피로도 급증 및 시력 저하</t>
  </si>
  <si>
    <t>6개월치 풀 결제 + 장비 최고급 세팅 후 3주 만에 질려서 드롭(Drop)</t>
  </si>
  <si>
    <t>무료 유튜브만 보며 집에서 혼자 하다 자세 망가지거나 흥미 잃음</t>
  </si>
  <si>
    <t>수의사·인플루언서 추천 최고가 유기농 브랜드 맹목적 정기 배송</t>
  </si>
  <si>
    <t>마트 제일 싼 대포장 사료 먹이다 신장결석 등 거대 병원비 폭탄 맞음</t>
  </si>
  <si>
    <t>과잉 진료하는 24시간 대형 병원 VIP / 불필요한 고가 영양제 영수증 폭탄</t>
  </si>
  <si>
    <t>돈 아깝다고 정기 백신 안 맞히다 파보장염 등 큰 병 터져 수백만 원 지출</t>
  </si>
  <si>
    <t>매달 애견 스파·가위컷 전문 미용실에 10~15만 원씩 정기 상납</t>
  </si>
  <si>
    <t>싸구려 이발기 사서 억지로 밀다 피부에 상처 내고 관계 나빠짐</t>
  </si>
  <si>
    <t>넷플, 티빙, 디플, 유튜브 다 구독하고 볼 게 없다며 숏폼 봄 (월 6만 원 누수)</t>
  </si>
  <si>
    <t>돈 안 쓴다고 파편화된 무료 블로그만 찾느라 시스템적 학습 런타임 실패</t>
  </si>
  <si>
    <t>체면 때문에 친하지 않은 사람에게도 무리해서 10만 원씩 뿌림 (회수율 0%)</t>
  </si>
  <si>
    <t>안 내고 안 받겠다 선언하며 사회적 노드(관계) 자체를 완벽히 고립시킴</t>
  </si>
  <si>
    <t>카카오톡 선물하기 인기 랭킹 1위인 5만 원대 브랜드 디퓨저 영혼 없이 보냄</t>
  </si>
  <si>
    <t>가성비 챙긴다고 실용성 없는 스팸 세트 최저가로 사서 보내다 욕먹음</t>
  </si>
  <si>
    <t>기념일마다 호캉스·파인다이닝 안 가면 큰일 나는 줄 앎 (인스타 과소비)</t>
  </si>
  <si>
    <t>데이트 통장 만들고 100원 단위 더치페이 계산하느라 감정적 오버헤드 폭발</t>
  </si>
  <si>
    <t>식당 분위기 낸다며 10만 원짜리 와인이나 화요를 원가 대비 3배 주고 시킴</t>
  </si>
  <si>
    <t>극성수기 주말 1박 50만 원 풀빌라 예약하며 "나를 위한 보상" 마케팅 맹신</t>
  </si>
  <si>
    <t>숙박비 아끼려 찜질방·차박 고집하다 다음 날 피로 누적으로 전체 일정 망침</t>
  </si>
  <si>
    <t>여행사 풀패키지 프리미엄 + 현지 명품 쇼핑 콤보로 거대 예산 초과</t>
  </si>
  <si>
    <t>최저가 LCC 특가표 잡느라 밤새우고, 현지에서 육체노동 강행군 여행</t>
  </si>
  <si>
    <t>아이 기죽이기 싫다며 백화점 신상 로봇·레고 풀세트 매번 신품 결제</t>
  </si>
  <si>
    <t>싼 맛에 다이소·알리산 환경호르몬 장난감 무더기로 사서 방치</t>
  </si>
  <si>
    <t>금방 클 아이에게 몽클레어·버버리 키즈 등 명품 백화점 신상 구매로 과시</t>
  </si>
  <si>
    <t>형제자매 옷 무조건 물려 입히거나 철 지난 마트 땡처리 입혀 자존감 깎음</t>
  </si>
  <si>
    <t>베이비페어 디럭스 유모차 풀옵션 150만 원 결제 후 트렁크에 방치</t>
  </si>
  <si>
    <t>너무 낡고 바퀴 고장 난 구형 중고 쓰다 부모 손목 관절 나감</t>
  </si>
  <si>
    <t>지인 부탁으로 종신·변액 매달 수십만 원 내면서 정작 보장 내용 모름</t>
  </si>
  <si>
    <t>보험료 아깝다고 실비조차 안 들었다 병원비 터져 가계 경제 파탄</t>
  </si>
  <si>
    <t>은행원 실적 채워준 계좌에 방치 (수익률 0%, 수수료 낙전만 나감)</t>
  </si>
  <si>
    <t>원금 손실 두려워 예적금만 고집, 인플레이션에 자산 가치 하락을 멍하니 당함</t>
  </si>
  <si>
    <t>헬스장, 멜론, 통신사 부가서비스 등 매달 5만 원씩 낙전 뜯겨도 인지 못함</t>
  </si>
  <si>
    <t>타행 이체 수수료 500원 아끼려 ATM기 찾으러 20분씩 걸어 다니며 시간 버림</t>
  </si>
  <si>
    <t>플라스틱 서랍장에 모든 옷을 접어서 넣고, 저가 건조대로 공간 희생</t>
    <phoneticPr fontId="2" type="noConversion"/>
  </si>
  <si>
    <t>유형_일반인</t>
    <phoneticPr fontId="2" type="noConversion"/>
  </si>
  <si>
    <t>프레임 부식으로 전열교환기 교환</t>
    <phoneticPr fontId="2" type="noConversion"/>
  </si>
  <si>
    <t>최신 폰 출시마다 24개월 할부 + 고가 무제한 요금제 결합 (호구 잡힘)</t>
    <phoneticPr fontId="2" type="noConversion"/>
  </si>
  <si>
    <t>유행 타는 식기 세트 잦은 기변</t>
    <phoneticPr fontId="2" type="noConversion"/>
  </si>
  <si>
    <t>백화점 1층 명품 브랜드 스킨케어 세트 단위 구매</t>
    <phoneticPr fontId="2" type="noConversion"/>
  </si>
  <si>
    <t>기존 기기 고장 시 폐기 후 신규 PC 구매</t>
    <phoneticPr fontId="2" type="noConversion"/>
  </si>
  <si>
    <t>용도별 전용 제품 구매, 재고 미파악으로 구매 지속</t>
    <phoneticPr fontId="2" type="noConversion"/>
  </si>
  <si>
    <t>매년 1회 프리미엄 엔진오일 교환(1년 or 15천km 준수)</t>
    <phoneticPr fontId="2" type="noConversion"/>
  </si>
  <si>
    <t>패스트캠퍼스 연간 수강권 10만 원 결제 후 단 한 강도 안 듦 (위안 비용)</t>
    <phoneticPr fontId="2" type="noConversion"/>
  </si>
  <si>
    <t>교체 시기 관리하지 않음: 구독서비스 이용</t>
    <phoneticPr fontId="2" type="noConversion"/>
  </si>
  <si>
    <t>유형_노동자</t>
    <phoneticPr fontId="2" type="noConversion"/>
  </si>
  <si>
    <t>밤낮으로 장터 매물 사기 검증 스트레스로 미러리스 카메라, 렌즈 구입후 호환 지옥</t>
    <phoneticPr fontId="2" type="noConversion"/>
  </si>
  <si>
    <t>무료 불법 사이트 누비다 랜섬웨어 걸리거나 화질 저하로 감상 만족도 저하</t>
    <phoneticPr fontId="2" type="noConversion"/>
  </si>
  <si>
    <t>술값 아끼겠다고 무조건 편의점 앞 파라솔이나 저가 맥주집 고집</t>
    <phoneticPr fontId="2" type="noConversion"/>
  </si>
  <si>
    <t>카드 5개 실적 쪼개기 계산하느라 뇌에 부하 폭발</t>
    <phoneticPr fontId="2" type="noConversion"/>
  </si>
  <si>
    <t>- 소모품은 물리적으로 소모되는 물질 (필터, 건전지, 세제 등) — 정기적으로 보충해야 하는 것</t>
    <phoneticPr fontId="2" type="noConversion"/>
  </si>
  <si>
    <t>- 병원비는 서비스 지출이자 유지보수 실패의 downstream 비용 — OPEX에 해당</t>
    <phoneticPr fontId="2" type="noConversion"/>
  </si>
  <si>
    <t>원가절감_설계자</t>
    <phoneticPr fontId="2" type="noConversion"/>
  </si>
  <si>
    <t>원가절감_일반인</t>
    <phoneticPr fontId="2" type="noConversion"/>
  </si>
  <si>
    <t>원가절감_노동자</t>
    <phoneticPr fontId="2" type="noConversion"/>
  </si>
  <si>
    <t>가치제고_설계자</t>
  </si>
  <si>
    <t>가치제고_일반인</t>
  </si>
  <si>
    <t>가치제고_노동자</t>
  </si>
  <si>
    <t>○</t>
  </si>
  <si>
    <t>세차</t>
    <phoneticPr fontId="2" type="noConversion"/>
  </si>
  <si>
    <t>자동세차로 3분내 마무리, 미세한 스크래치는 받아들임</t>
    <phoneticPr fontId="2" type="noConversion"/>
  </si>
  <si>
    <t>손세차+디테일링으로 세차할때 10만원 지불, 디테일링 제품은 항상 차에 넣어둠</t>
    <phoneticPr fontId="2" type="noConversion"/>
  </si>
  <si>
    <t>셀프세차에서 1시간 세차하고, 4시간 버핑하여 주말 사라짐</t>
    <phoneticPr fontId="2" type="noConversion"/>
  </si>
  <si>
    <t>전체 작업을 자산/시스템/콘텐츠/파이프라인 4개 영역으로 나눠 리스트업했습니다.</t>
  </si>
  <si>
    <t>1. 캐릭터·자산 작업</t>
  </si>
  <si>
    <t>기존 3인 캐릭터 SVG 컴포넌트화 (현재 그림을 재사용 가능한 모듈로 분리 — head/body/foot/소품을 독립 변수로)</t>
  </si>
  <si>
    <t>가족 캐릭터 디자인 규칙 확정</t>
  </si>
  <si>
    <t>아이: 동일 헤어/팔레트 축소 버전, 비율만 작게 (성인 캐릭터 디자인 토큰 재사용)</t>
  </si>
  <si>
    <t>배우자(여성): 별도 바디 디자인 없이 헤어스타일만 차별화 → 본체는 공용 베이스 바디 사용</t>
  </si>
  <si>
    <t>가족 3세트(샤이니/토일/아치 가족) 각각 1회 고정 자산화</t>
  </si>
  <si>
    <t>표정 라이브러리 추가: 현재는 기본 표정만 있음 → 당황/뿌듯/고통/무심 등 에피소드에 반복 쓰일 표정 세트 5~6개씩 사전 제작</t>
  </si>
  <si>
    <t>2. 배경·소품 라이브러리</t>
  </si>
  <si>
    <t>공용 배경(3인 공통 등장 공간): 회사 탕비실/카페, 주차장 등</t>
  </si>
  <si>
    <t>캐릭터별 전용 배경</t>
  </si>
  <si>
    <t>샤이니: 백화점, 친구 모임 장소(카페/바)</t>
  </si>
  <si>
    <t>토일: 다이소, 전통시장, 셀프세차장, 중고거래 현장, 왕소금 카페 정모 장소 — 배경 풀이 가장 큼</t>
  </si>
  <si>
    <t>아치: 홈오피스(맥스튜디오 데스크) 고정 1종, 가끔 여행지/섬 등 예외적 배경</t>
  </si>
  <si>
    <t>소비 항목별 소품 세트 (현재 81개 항목 기준 아이콘/오브젝트 라이브러리 구축 — 우선 자주 쓰일 항목부터)</t>
  </si>
  <si>
    <t>3. 플롯·콘텐츠 구조 표준화</t>
  </si>
  <si>
    <t>기승전결 템플릿 후보:</t>
  </si>
  <si>
    <r>
      <t>1. 금요일 기대 → 주말 각자 행동 → 월요일 디브리프</t>
    </r>
    <r>
      <rPr>
        <sz val="11"/>
        <color theme="1"/>
        <rFont val="맑은 고딕"/>
        <family val="2"/>
        <charset val="129"/>
        <scheme val="minor"/>
      </rPr>
      <t xml:space="preserve"> (제시하신 세차 사례, 3인 동시 비교형)</t>
    </r>
  </si>
  <si>
    <r>
      <t>2. 샤이니형</t>
    </r>
    <r>
      <rPr>
        <sz val="11"/>
        <color theme="1"/>
        <rFont val="맑은 고딕"/>
        <family val="2"/>
        <charset val="129"/>
        <scheme val="minor"/>
      </rPr>
      <t>: 동류 친구 모임 → 신상 구매 → 할부/마이너스통장 고통 엔딩</t>
    </r>
  </si>
  <si>
    <r>
      <t>3. 토일형</t>
    </r>
    <r>
      <rPr>
        <sz val="11"/>
        <color theme="1"/>
        <rFont val="맑은 고딕"/>
        <family val="2"/>
        <charset val="129"/>
        <scheme val="minor"/>
      </rPr>
      <t>: 평일 DIY 절약 → 왕소금 카페 정모 경쟁 → 상처 → "더 강해져야해" 다짐 엔딩</t>
    </r>
  </si>
  <si>
    <r>
      <t>4. 아치형</t>
    </r>
    <r>
      <rPr>
        <sz val="11"/>
        <color theme="1"/>
        <rFont val="맑은 고딕"/>
        <family val="2"/>
        <charset val="129"/>
        <scheme val="minor"/>
      </rPr>
      <t>: 일상 무관심 → 바이브 코딩으로 시스템 설계/검증 → 절약·투자 성과 기반 신규 계획(섬 구입 등) 발표</t>
    </r>
  </si>
  <si>
    <t>→ 템플릿별 패널 수·전개 비트 고정해서 "type 1~4" 식으로 분류, 항목만 갈아끼우는 구조</t>
  </si>
  <si>
    <t>4. 데이터/입력 설계</t>
  </si>
  <si>
    <t>81개 소비 항목 마스터 시트 (항목명, 적용 가능 템플릿 type, 캐릭터별 반응 규칙, 필요 배경/소품 태그)</t>
  </si>
  <si>
    <t>캐릭터별 "반응 알고리즘" 룰셋 — 항목 입력 시 자동으로 각자 톤·결과 매핑 (샤이니=과소비/할부 고통, 토일=DIY+경쟁+상처, 아치=무심+시스템화)</t>
  </si>
  <si>
    <t>가족 등장 조건 룰 (어떤 항목/템플릿에 가족이 들어가는지)</t>
  </si>
  <si>
    <t>5. 제작 파이프라인</t>
  </si>
  <si>
    <t>시나리오 생성: 항목+템플릿 type → Claude API로 4~8컷 비트/대사 초안 생성</t>
  </si>
  <si>
    <t>비주얼 생성: 캐릭터/배경/소품 SVG 컴포넌트 조합 코드</t>
  </si>
  <si>
    <t>합성: 말풍선·텍스트 레이아웃 고정 템플릿에 텍스트만 삽입</t>
  </si>
  <si>
    <t>출고: 블로그(Ghost) 자동 포스팅 or 수동 업로드</t>
  </si>
  <si>
    <t>다음으로 어디부터 구체화할까요? (가족 캐릭터 디자인 / 81개 항목-템플릿 매핑 시트 / 템플릿별 패널 비트 표 중)</t>
  </si>
  <si>
    <t>캐릭터</t>
    <phoneticPr fontId="2" type="noConversion"/>
  </si>
  <si>
    <t>샤이니</t>
    <phoneticPr fontId="2" type="noConversion"/>
  </si>
  <si>
    <t>토토</t>
    <phoneticPr fontId="2" type="noConversion"/>
  </si>
  <si>
    <t>아치</t>
    <phoneticPr fontId="2" type="noConversion"/>
  </si>
  <si>
    <t>아이</t>
    <phoneticPr fontId="2" type="noConversion"/>
  </si>
  <si>
    <t>배우자</t>
    <phoneticPr fontId="2" type="noConversion"/>
  </si>
  <si>
    <t>표정</t>
    <phoneticPr fontId="2" type="noConversion"/>
  </si>
  <si>
    <t>배경</t>
    <phoneticPr fontId="2" type="noConversion"/>
  </si>
  <si>
    <t>홈오피스</t>
    <phoneticPr fontId="2" type="noConversion"/>
  </si>
  <si>
    <t>여행지</t>
    <phoneticPr fontId="2" type="noConversion"/>
  </si>
  <si>
    <t>다이소</t>
    <phoneticPr fontId="2" type="noConversion"/>
  </si>
  <si>
    <t>시장</t>
    <phoneticPr fontId="2" type="noConversion"/>
  </si>
  <si>
    <t>셀프세차장</t>
    <phoneticPr fontId="2" type="noConversion"/>
  </si>
  <si>
    <t>중고거래</t>
    <phoneticPr fontId="2" type="noConversion"/>
  </si>
  <si>
    <t>정모</t>
    <phoneticPr fontId="2" type="noConversion"/>
  </si>
  <si>
    <t>백화점</t>
    <phoneticPr fontId="2" type="noConversion"/>
  </si>
  <si>
    <t>카페</t>
    <phoneticPr fontId="2" type="noConversion"/>
  </si>
  <si>
    <t>바</t>
    <phoneticPr fontId="2" type="noConversion"/>
  </si>
  <si>
    <t>소품</t>
    <phoneticPr fontId="2" type="noConversion"/>
  </si>
  <si>
    <t>구매아이템</t>
    <phoneticPr fontId="2" type="noConversion"/>
  </si>
  <si>
    <t>플롯</t>
    <phoneticPr fontId="2" type="noConversion"/>
  </si>
  <si>
    <t>주말경험</t>
    <phoneticPr fontId="2" type="noConversion"/>
  </si>
  <si>
    <t>Rawdata</t>
    <phoneticPr fontId="2" type="noConversion"/>
  </si>
  <si>
    <t>Data</t>
    <phoneticPr fontId="2" type="noConversion"/>
  </si>
  <si>
    <t>소비항목</t>
    <phoneticPr fontId="2" type="noConversion"/>
  </si>
  <si>
    <t>소비내용/반응</t>
    <phoneticPr fontId="2" type="noConversion"/>
  </si>
  <si>
    <t>제작</t>
    <phoneticPr fontId="2" type="noConversion"/>
  </si>
  <si>
    <t>시나리오</t>
    <phoneticPr fontId="2" type="noConversion"/>
  </si>
  <si>
    <t>비주얼</t>
    <phoneticPr fontId="2" type="noConversion"/>
  </si>
  <si>
    <t>합성</t>
    <phoneticPr fontId="2" type="noConversion"/>
  </si>
  <si>
    <t>X</t>
    <phoneticPr fontId="2" type="noConversion"/>
  </si>
  <si>
    <t>원가로직</t>
    <phoneticPr fontId="2" type="noConversion"/>
  </si>
  <si>
    <t>중복</t>
    <phoneticPr fontId="2" type="noConversion"/>
  </si>
  <si>
    <t>소비 대상</t>
    <phoneticPr fontId="2" type="noConversion"/>
  </si>
  <si>
    <t>부적합 대상</t>
    <phoneticPr fontId="2" type="noConversion"/>
  </si>
  <si>
    <t>아파트 전열교환기 필터 구입 및 스틸자로 프레임 강화</t>
    <phoneticPr fontId="2" type="noConversion"/>
  </si>
  <si>
    <t>최저가 호환 프레임 검색에 2시간 소모, 결국 교환</t>
    <phoneticPr fontId="2" type="noConversion"/>
  </si>
  <si>
    <t>필터 물세척해서 쓰려다 공기청정기 망가뜨림</t>
    <phoneticPr fontId="2" type="noConversion"/>
  </si>
  <si>
    <t>인테리어 포기 (수면 조명 없음)</t>
    <phoneticPr fontId="2" type="noConversion"/>
  </si>
  <si>
    <t>유지보수 (힌지·문고리)</t>
    <phoneticPr fontId="2" type="noConversion"/>
  </si>
  <si>
    <t>전기드릴 등 공구 구비 후 셀프 교체</t>
    <phoneticPr fontId="2" type="noConversion"/>
  </si>
  <si>
    <t>손으로 교체하다 주말 하루 통째로 반납하여 시공 노동</t>
    <phoneticPr fontId="2" type="noConversion"/>
  </si>
  <si>
    <t>호환 필터 구입하고, 고전하며 포기, 비데 수명 단축</t>
    <phoneticPr fontId="2" type="noConversion"/>
  </si>
  <si>
    <t>차량 액세서리</t>
    <phoneticPr fontId="2" type="noConversion"/>
  </si>
  <si>
    <t>effectiveness</t>
    <phoneticPr fontId="2" type="noConversion"/>
  </si>
  <si>
    <t>유막제거 및 발수코팅만 년 1회 수행</t>
    <phoneticPr fontId="2" type="noConversion"/>
  </si>
  <si>
    <t>럭셔리 방향제, 알칸타라 핸들 커버, 시트 커버, 공기청정기 등 악세서리 집합소</t>
    <phoneticPr fontId="2" type="noConversion"/>
  </si>
  <si>
    <t>스마트폰 거치대, 메시 쿠션, 문콕 가드 등 싸구려 유사품으로 도배</t>
    <phoneticPr fontId="2" type="noConversion"/>
  </si>
  <si>
    <t>폐차장이나 정비소 잉여 워셔액 구걸하다가 결국 주유소에서 구입하나 지속적인 워셔액 부족에 시달림</t>
    <phoneticPr fontId="2" type="noConversion"/>
  </si>
  <si>
    <t>앞유리 세정제(워셔액)</t>
    <phoneticPr fontId="2" type="noConversion"/>
  </si>
  <si>
    <t>비추 — 대기+뒷처리 비효율 / 기름·당분 과다 → 집밥 또는 치킨 픽업</t>
    <phoneticPr fontId="2" type="noConversion"/>
  </si>
  <si>
    <t>기능성 이너 아울렛 구입 개당 5만원으로 연간 4개 구입</t>
    <phoneticPr fontId="2" type="noConversion"/>
  </si>
  <si>
    <t>신상/브랜드 이너웨어 구매 : 개당 20만원</t>
    <phoneticPr fontId="2" type="noConversion"/>
  </si>
  <si>
    <t>가죽제품: 가방</t>
    <phoneticPr fontId="2" type="noConversion"/>
  </si>
  <si>
    <t>다이소 구두약으로 인조가죽 문지르다 가죽 망가뜨림</t>
    <phoneticPr fontId="2" type="noConversion"/>
  </si>
  <si>
    <t>미용실 두달에 한 번 + 홈 트리트먼트로 보완</t>
    <phoneticPr fontId="2" type="noConversion"/>
  </si>
  <si>
    <t>만원 블루클럽 / 동네 셀프 염색약 썼다 머릿결 상한 상태로 생활</t>
    <phoneticPr fontId="2" type="noConversion"/>
  </si>
  <si>
    <t>고품질 안경 1개 장기 사용</t>
    <phoneticPr fontId="2" type="noConversion"/>
  </si>
  <si>
    <t>캐슈넛·야채크래커 등 제품 통일하여 대용량 구입</t>
    <phoneticPr fontId="2" type="noConversion"/>
  </si>
  <si>
    <t>90~2000년대 중고 오디오 컴포넌트 단위 구입</t>
    <phoneticPr fontId="2" type="noConversion"/>
  </si>
  <si>
    <t>당근 키워드 알림 보며 무한 잠복 스트레스받다가 최신 국내, 중국산 오디오 구입, 오디오 카페 의견에 따라 고가 케이블/멀티탭 구입</t>
    <phoneticPr fontId="2" type="noConversion"/>
  </si>
  <si>
    <t>검증</t>
    <phoneticPr fontId="2" type="noConversion"/>
  </si>
  <si>
    <t>유지보수</t>
    <phoneticPr fontId="2" type="noConversion"/>
  </si>
  <si>
    <t>데이트/모임</t>
    <phoneticPr fontId="2" type="noConversion"/>
  </si>
  <si>
    <t>네트워킹</t>
    <phoneticPr fontId="2" type="noConversion"/>
  </si>
  <si>
    <t>현지 쇼핑</t>
    <phoneticPr fontId="2" type="noConversion"/>
  </si>
  <si>
    <t>right spec</t>
    <phoneticPr fontId="2" type="noConversion"/>
  </si>
  <si>
    <t>현지에서 비싸고, 한국에서 구하기 힘든 것만 한두개 구입(구보타 만쥬)</t>
    <phoneticPr fontId="2" type="noConversion"/>
  </si>
  <si>
    <t>쇼핑 체크리스트, 블로그 탐독하여 쓸어오며 여행가방 하나 더삼</t>
    <phoneticPr fontId="2" type="noConversion"/>
  </si>
  <si>
    <t>드러그 스토어의 저가 의약품, 화장품 구입하고, 중국에서 만든 냉장고 자석 사옴</t>
    <phoneticPr fontId="2" type="noConversion"/>
  </si>
  <si>
    <t>독서</t>
    <phoneticPr fontId="2" type="noConversion"/>
  </si>
  <si>
    <t>고전 컨텐츠 위주로 2~3번씩 씹어먹으면서 읽는 독서</t>
    <phoneticPr fontId="2" type="noConversion"/>
  </si>
  <si>
    <t>베스트셀러 + 굿즈 패키지 무지성 구매</t>
    <phoneticPr fontId="2" type="noConversion"/>
  </si>
  <si>
    <t>서점에서 읽거나, 요약본으로 때우고 독서는 안함</t>
    <phoneticPr fontId="2" type="noConversion"/>
  </si>
  <si>
    <t>- 연간 몇회 구입하는 건은 시간을 1/12로 하고, 양을 N으로 한다. 그렇게 해야 계산이 간단하고, 직관적으로 식을 이해할 수 있다. 모두 수정</t>
    <phoneticPr fontId="2" type="noConversion"/>
  </si>
  <si>
    <t>설계자_사용시간/월환산</t>
    <phoneticPr fontId="2" type="noConversion"/>
  </si>
  <si>
    <t>설계자_사용량/사용횟수</t>
    <phoneticPr fontId="2" type="noConversion"/>
  </si>
  <si>
    <t>일반인_사용시간/월환산</t>
    <phoneticPr fontId="2" type="noConversion"/>
  </si>
  <si>
    <t>일반인_사용량/사용횟수</t>
    <phoneticPr fontId="2" type="noConversion"/>
  </si>
  <si>
    <t>노동자_사용시간/월환산</t>
    <phoneticPr fontId="2" type="noConversion"/>
  </si>
  <si>
    <t>노동자_사용량/사용횟수</t>
    <phoneticPr fontId="2" type="noConversion"/>
  </si>
  <si>
    <t>[가구]싱글남</t>
  </si>
  <si>
    <t>[가구]싱글여</t>
  </si>
  <si>
    <t>[가구]커플</t>
  </si>
  <si>
    <t>[가구]가족(육아)</t>
  </si>
  <si>
    <t>[가구]시니어</t>
  </si>
  <si>
    <t>○</t>
    <phoneticPr fontId="2" type="noConversion"/>
  </si>
  <si>
    <t>X</t>
    <phoneticPr fontId="2" type="noConversion"/>
  </si>
  <si>
    <t>X</t>
    <phoneticPr fontId="2" type="noConversion"/>
  </si>
  <si>
    <t>○</t>
    <phoneticPr fontId="2" type="noConversion"/>
  </si>
  <si>
    <t>X</t>
    <phoneticPr fontId="2" type="noConversion"/>
  </si>
  <si>
    <t>○</t>
    <phoneticPr fontId="2" type="noConversion"/>
  </si>
  <si>
    <t>설계자</t>
  </si>
  <si>
    <t>일반인</t>
  </si>
  <si>
    <t>노동자</t>
  </si>
  <si>
    <t>이름</t>
    <phoneticPr fontId="2" type="noConversion"/>
  </si>
  <si>
    <t>이름_영문</t>
    <phoneticPr fontId="2" type="noConversion"/>
  </si>
  <si>
    <t>archi</t>
    <phoneticPr fontId="2" type="noConversion"/>
  </si>
  <si>
    <t>shiny</t>
    <phoneticPr fontId="2" type="noConversion"/>
  </si>
  <si>
    <t>토일</t>
    <phoneticPr fontId="2" type="noConversion"/>
  </si>
  <si>
    <t>toil</t>
    <phoneticPr fontId="2" type="noConversion"/>
  </si>
  <si>
    <t>slogan</t>
  </si>
  <si>
    <t>slogan</t>
    <phoneticPr fontId="2" type="noConversion"/>
  </si>
  <si>
    <t>the architect</t>
  </si>
  <si>
    <t>the architect</t>
    <phoneticPr fontId="2" type="noConversion"/>
  </si>
  <si>
    <t>the consumer</t>
  </si>
  <si>
    <t>the consumer</t>
    <phoneticPr fontId="2" type="noConversion"/>
  </si>
  <si>
    <t>the laborer</t>
  </si>
  <si>
    <t>the laborer</t>
    <phoneticPr fontId="2" type="noConversion"/>
  </si>
  <si>
    <t>nickname</t>
  </si>
  <si>
    <t>nickname</t>
    <phoneticPr fontId="2" type="noConversion"/>
  </si>
  <si>
    <t>최저가를 찾고, 내손으로 만든다</t>
  </si>
  <si>
    <t>최저가를 찾고, 내손으로 만든다</t>
    <phoneticPr fontId="2" type="noConversion"/>
  </si>
  <si>
    <t>설명</t>
  </si>
  <si>
    <t>설명</t>
    <phoneticPr fontId="2" type="noConversion"/>
  </si>
  <si>
    <t>어디가 core이지?</t>
  </si>
  <si>
    <t>어디가 core이지?</t>
    <phoneticPr fontId="2" type="noConversion"/>
  </si>
  <si>
    <t>실질적 효과에만 지갑을 열고, 충분한 시뮬레이션을 이후 선택을 한다. DIY 노동은 5분내에 끝내는 것만 하고</t>
    <phoneticPr fontId="2" type="noConversion"/>
  </si>
  <si>
    <t>검증</t>
  </si>
  <si>
    <t>Less DIY</t>
    <phoneticPr fontId="2" type="noConversion"/>
  </si>
  <si>
    <t>구조 활용</t>
    <phoneticPr fontId="2" type="noConversion"/>
  </si>
  <si>
    <t>Simulation first</t>
  </si>
  <si>
    <t>Simulation first</t>
    <phoneticPr fontId="2" type="noConversion"/>
  </si>
  <si>
    <t>Trend</t>
    <phoneticPr fontId="2" type="noConversion"/>
  </si>
  <si>
    <t>난 trendy하고, edge에 있어</t>
  </si>
  <si>
    <t>난 trendy하고, edge에 있어</t>
    <phoneticPr fontId="2" type="noConversion"/>
  </si>
  <si>
    <t>유행</t>
  </si>
  <si>
    <t>Debt bills</t>
    <phoneticPr fontId="2" type="noConversion"/>
  </si>
  <si>
    <t>Brand</t>
    <phoneticPr fontId="2" type="noConversion"/>
  </si>
  <si>
    <t>No DIY</t>
    <phoneticPr fontId="2" type="noConversion"/>
  </si>
  <si>
    <t>Heavy Device</t>
    <phoneticPr fontId="2" type="noConversion"/>
  </si>
  <si>
    <t>최저가</t>
  </si>
  <si>
    <t>최저가</t>
    <phoneticPr fontId="2" type="noConversion"/>
  </si>
  <si>
    <t>목장갑</t>
    <phoneticPr fontId="2" type="noConversion"/>
  </si>
  <si>
    <t>Heavy DIY</t>
    <phoneticPr fontId="2" type="noConversion"/>
  </si>
  <si>
    <t>수공구</t>
    <phoneticPr fontId="2" type="noConversion"/>
  </si>
  <si>
    <t>Moncler 패딩에, 스타벅스를 들고, 백화점을 활보 중. 카드영수증이 사방에 날리지만, 최신 Trend와 브랜드는 포기하지 못한다.</t>
    <phoneticPr fontId="2" type="noConversion"/>
  </si>
  <si>
    <t>Item</t>
    <phoneticPr fontId="2" type="noConversion"/>
  </si>
  <si>
    <t>진공청소기 · 밧줄 · 공구를 몸에 묶고, 최저가를 찾아 방황한다. 충혈된 눈, 다이소 밴드, 목장갑, 시장 슬리퍼, 손에는 먼지 가득. 좌우명은 놀면 안된다.</t>
    <phoneticPr fontId="2" type="noConversion"/>
  </si>
  <si>
    <t>이름 (영문)</t>
  </si>
  <si>
    <t>아치 (archi)</t>
  </si>
  <si>
    <t>샤이니 (shiny)</t>
  </si>
  <si>
    <t>토일 (toil) / 토토 (toto)</t>
  </si>
  <si>
    <t>진공청소기, 밧줄, 온갖 공구를 온몸에 주렁주렁 묶고 최저가를 찾아 방황한다. 충혈된 눈, 다이소 밴드, 목장갑, 시장 슬리퍼가 시그니처. 좌우명은 "놀면 안 된다(가학적 근면)."</t>
  </si>
  <si>
    <t>Item 1</t>
  </si>
  <si>
    <t>구조 활용 (System Hack)</t>
  </si>
  <si>
    <t>트렌드 (Trend Tracker)</t>
  </si>
  <si>
    <t>최저가 (Zero Margin)</t>
  </si>
  <si>
    <t>Item 2</t>
  </si>
  <si>
    <t>Brand identity</t>
  </si>
  <si>
    <t>목장갑 &amp; 다이소 밴드</t>
  </si>
  <si>
    <t>Item 3</t>
  </si>
  <si>
    <t>Heavy Device (맥스튜디오)</t>
  </si>
  <si>
    <t>Debt bills (할부 영수증 폭탄)</t>
  </si>
  <si>
    <t>수공구 (알리발 만물상)</t>
  </si>
  <si>
    <t>Item 4</t>
  </si>
  <si>
    <t>Less DIY (최적화 5분 컷)</t>
  </si>
  <si>
    <t>No DIY (무지성 아웃소싱)</t>
  </si>
  <si>
    <t>Heavy DIY (자가 자학 노역)</t>
  </si>
  <si>
    <r>
      <rPr>
        <sz val="11"/>
        <color rgb="FF1F1F1F"/>
        <rFont val="Noto Sans KR"/>
        <family val="2"/>
        <charset val="129"/>
      </rPr>
      <t>실질적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효과에만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지갑을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열고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Noto Sans KR"/>
        <family val="2"/>
        <charset val="129"/>
      </rPr>
      <t>충분한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시뮬레이션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이후에만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선택을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내린다</t>
    </r>
    <r>
      <rPr>
        <sz val="11"/>
        <color rgb="FF1F1F1F"/>
        <rFont val="Arial"/>
        <family val="2"/>
      </rPr>
      <t xml:space="preserve">. DIY </t>
    </r>
    <r>
      <rPr>
        <sz val="11"/>
        <color rgb="FF1F1F1F"/>
        <rFont val="Noto Sans KR"/>
        <family val="2"/>
        <charset val="129"/>
      </rPr>
      <t>노동은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Noto Sans KR"/>
        <family val="2"/>
        <charset val="129"/>
      </rPr>
      <t>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끝내는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가벼운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것만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허용하며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Noto Sans KR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여유는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온전히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사수한다</t>
    </r>
    <r>
      <rPr>
        <sz val="11"/>
        <color rgb="FF1F1F1F"/>
        <rFont val="Arial"/>
        <family val="2"/>
      </rPr>
      <t>.</t>
    </r>
    <phoneticPr fontId="2" type="noConversion"/>
  </si>
  <si>
    <r>
      <t xml:space="preserve">Moncler </t>
    </r>
    <r>
      <rPr>
        <sz val="11"/>
        <color rgb="FF1F1F1F"/>
        <rFont val="Noto Sans KR"/>
        <family val="2"/>
        <charset val="129"/>
      </rPr>
      <t>패딩을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입고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스타벅스를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백화점을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활보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중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Noto Sans KR"/>
        <family val="2"/>
        <charset val="129"/>
      </rPr>
      <t>카드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영수증이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사방에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날리며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가산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탕진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중이지만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Noto Sans KR"/>
        <family val="2"/>
        <charset val="129"/>
      </rPr>
      <t>최신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트렌드와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브랜드는 체면때문에 절대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포기하지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못한다</t>
    </r>
    <r>
      <rPr>
        <sz val="11"/>
        <color rgb="FF1F1F1F"/>
        <rFont val="Arial"/>
        <family val="2"/>
      </rPr>
      <t>.</t>
    </r>
    <phoneticPr fontId="2" type="noConversion"/>
  </si>
  <si>
    <t>approach_설계자</t>
  </si>
  <si>
    <t>실행방법_설계자</t>
  </si>
  <si>
    <t>approach_현대인</t>
  </si>
  <si>
    <t>실행방법_현대인</t>
  </si>
  <si>
    <t>approach_노동자</t>
  </si>
  <si>
    <t>실행방법_노동자</t>
  </si>
  <si>
    <t>효율</t>
  </si>
  <si>
    <t>편의</t>
  </si>
  <si>
    <t>관습</t>
  </si>
  <si>
    <t>대체</t>
  </si>
  <si>
    <t>아파트 전열교환기 필터 구입 및 스틸자로 프레임 강화</t>
  </si>
  <si>
    <t>교체</t>
  </si>
  <si>
    <t>프레임 부식으로 전열교환기 교환</t>
  </si>
  <si>
    <t>방황</t>
  </si>
  <si>
    <t>최저가 호환 프레임 검색에 2시간 소모, 결국 교환</t>
  </si>
  <si>
    <t>최적</t>
  </si>
  <si>
    <t>플라스틱 서랍장에 모든 옷을 접어서 넣고, 저가 건조대로 공간 희생</t>
  </si>
  <si>
    <t>필터 물세척해서 쓰려다 공기청정기 망가뜨림</t>
  </si>
  <si>
    <t>직구</t>
  </si>
  <si>
    <t>렌탈</t>
  </si>
  <si>
    <t>노역</t>
  </si>
  <si>
    <t>자작</t>
  </si>
  <si>
    <t>구매</t>
  </si>
  <si>
    <t>포기</t>
  </si>
  <si>
    <t>인테리어 포기 (수면 조명 없음)</t>
  </si>
  <si>
    <t>자가</t>
  </si>
  <si>
    <t>전기드릴 등 공구 구비 후 셀프 교체</t>
  </si>
  <si>
    <t>외주</t>
  </si>
  <si>
    <t>혹사</t>
  </si>
  <si>
    <t>손으로 교체하다 주말 하루 통째로 반납하여 시공 노동</t>
  </si>
  <si>
    <t>호환 필터 구입하고, 고전하며 포기, 비데 수명 단축</t>
  </si>
  <si>
    <t>최신 폰 출시마다 24개월 할부 + 고가 무제한 요금제 결합 (호구 잡힘)</t>
  </si>
  <si>
    <t>농축</t>
  </si>
  <si>
    <t>과다</t>
  </si>
  <si>
    <t>자학</t>
  </si>
  <si>
    <t>자동세차로 3분내 마무리, 미세한 스크래치는 받아들임</t>
  </si>
  <si>
    <t>손세차+디테일링으로 세차할때 10만원 지불, 디테일링 제품은 항상 차에 넣어둠</t>
  </si>
  <si>
    <t>셀프세차에서 1시간 세차하고, 4시간 버핑하여 주말 사라짐</t>
  </si>
  <si>
    <t>매년 1회 프리미엄 엔진오일 교환(1년 or 15천km 준수)</t>
  </si>
  <si>
    <t>폐차장이나 정비소 잉여 워셔액 구걸하다가 결국 주유소에서 구입하나 지속적인 워셔액 부족에 시달림</t>
  </si>
  <si>
    <t>유막제거 및 발수코팅만 년 1회 수행</t>
  </si>
  <si>
    <t>럭셔리 방향제, 알칸타라 핸들 커버, 시트 커버, 공기청정기 등 악세서리 집합소</t>
  </si>
  <si>
    <t>스마트폰 거치대, 메시 쿠션, 문콕 가드 등 싸구려 유사품으로 도배</t>
  </si>
  <si>
    <t>소분</t>
  </si>
  <si>
    <t>방치</t>
  </si>
  <si>
    <t>집착</t>
  </si>
  <si>
    <t>비추 — 대기+뒷처리 비효율 / 기름·당분 과다 → 집밥 또는 치킨 픽업</t>
  </si>
  <si>
    <t>통일</t>
  </si>
  <si>
    <t>중복</t>
  </si>
  <si>
    <t>낭비</t>
  </si>
  <si>
    <t>기능성 이너 아울렛 구입 개당 5만원으로 연간 4개 구입</t>
  </si>
  <si>
    <t>신상/브랜드 이너웨어 구매 : 개당 20만원</t>
  </si>
  <si>
    <t>다이소 구두약으로 인조가죽 문지르다 가죽 망가뜨림</t>
  </si>
  <si>
    <t>백화점 1층 명품 브랜드 스킨케어 세트 단위 구매</t>
  </si>
  <si>
    <t>미용실 두달에 한 번 + 홈 트리트먼트로 보완</t>
  </si>
  <si>
    <t>만원 블루클럽 / 동네 셀프 염색약 썼다 머릿결 상한 상태로 생활</t>
  </si>
  <si>
    <t>고품질 안경 1개 장기 사용</t>
  </si>
  <si>
    <t>수동</t>
  </si>
  <si>
    <t>캐슈넛·야채크래커 등 제품 통일하여 대용량 구입</t>
  </si>
  <si>
    <t>90~2000년대 중고 오디오 컴포넌트 단위 구입</t>
  </si>
  <si>
    <t>신상</t>
  </si>
  <si>
    <t>잠복</t>
  </si>
  <si>
    <t>당근 키워드 알림 보며 무한 잠복 스트레스받다가 최신 국내, 중국산 오디오 구입, 오디오 카페 의견에 따라 고가 케이블/멀티탭 구입</t>
  </si>
  <si>
    <t>밤낮으로 장터 매물 사기 검증 스트레스로 미러리스 카메라, 렌즈 구입후 호환 지옥</t>
  </si>
  <si>
    <t>체험</t>
  </si>
  <si>
    <t>충동</t>
  </si>
  <si>
    <t>독학</t>
  </si>
  <si>
    <t>전환</t>
  </si>
  <si>
    <t>폐기</t>
  </si>
  <si>
    <t>기존 기기 고장 시 폐기 후 신규 PC 구매</t>
  </si>
  <si>
    <t>파괴</t>
  </si>
  <si>
    <t>무료 불법 사이트 누비다 랜섬웨어 걸리거나 화질 저하로 감상 만족도 저하</t>
  </si>
  <si>
    <t>범용</t>
  </si>
  <si>
    <t>전용</t>
  </si>
  <si>
    <t>용도별 전용 제품 구매, 재고 미파악으로 구매 지속</t>
  </si>
  <si>
    <t>패스트캠퍼스 연간 수강권 10만 원 결제 후 단 한 강도 안 듦 (위안 비용)</t>
  </si>
  <si>
    <t>고전 컨텐츠 위주로 2~3번씩 씹어먹으면서 읽는 독서</t>
  </si>
  <si>
    <t>베스트셀러 + 굿즈 패키지 무지성 구매</t>
  </si>
  <si>
    <t>서점에서 읽거나, 요약본으로 때우고 독서는 안함</t>
  </si>
  <si>
    <t>실리</t>
  </si>
  <si>
    <t>과시</t>
  </si>
  <si>
    <t>기념일마다 호캉스·파인다이닝 안 가면 큰일 나는 줄 생 (인스타 과소비)</t>
  </si>
  <si>
    <t>고립</t>
  </si>
  <si>
    <t>술값 아끼겠다고 무조건 편의점 앞 파라솔이나 저가 맥주집 고집</t>
  </si>
  <si>
    <t>현지에서 비싸고, 한국에서 구하기 힘든 것만 한두개 구입(구보타 만쥬)</t>
  </si>
  <si>
    <t>쇼핑 체크리스트, 블로그 탐독하여 쓸어오며 여행가방 하나 더삼</t>
  </si>
  <si>
    <t>드러그 스토어의 저가 의약품, 화장품 구입하고, 중국에서 만든 냉장고 자석 사옴</t>
  </si>
  <si>
    <t>단일</t>
  </si>
  <si>
    <t>누수</t>
  </si>
  <si>
    <t>복잡</t>
  </si>
  <si>
    <t>카드 5개 실적 쪼개기 계산하느라 뇌에 부하 폭발</t>
  </si>
  <si>
    <t>정제</t>
  </si>
  <si>
    <t>통제</t>
  </si>
  <si>
    <t>무관심</t>
  </si>
  <si>
    <t>교체 시기 관리하지 않음: 구독서비스 이용</t>
  </si>
  <si>
    <t>망각</t>
  </si>
  <si>
    <t>Sharing</t>
  </si>
  <si>
    <t>Sharing</t>
    <phoneticPr fontId="2" type="noConversion"/>
  </si>
  <si>
    <t>대체</t>
    <phoneticPr fontId="2" type="noConversion"/>
  </si>
  <si>
    <t>효율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</si>
</sst>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_-;\-* #,##0.0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Noto Sans KR"/>
      <family val="2"/>
      <charset val="129"/>
    </font>
    <font>
      <sz val="12"/>
      <color rgb="FF424242"/>
      <name val="맑은 고딕"/>
      <family val="2"/>
      <scheme val="minor"/>
    </font>
    <font>
      <sz val="10"/>
      <color theme="1"/>
      <name val="Arial"/>
      <family val="2"/>
      <charset val="129"/>
    </font>
    <font>
      <b/>
      <sz val="11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체"/>
      <family val="3"/>
      <charset val="129"/>
    </font>
    <font>
      <b/>
      <sz val="11"/>
      <color theme="1"/>
      <name val="맑은 고딕"/>
      <family val="2"/>
      <scheme val="minor"/>
    </font>
    <font>
      <sz val="11"/>
      <color theme="1"/>
      <name val="Segoe UI Symbol"/>
      <family val="2"/>
      <charset val="1"/>
    </font>
    <font>
      <sz val="11"/>
      <color rgb="FF1F1F1F"/>
      <name val="Noto Sans KR"/>
      <family val="2"/>
      <charset val="129"/>
    </font>
    <font>
      <sz val="11"/>
      <color rgb="FF1F1F1F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9" fontId="0" fillId="0" borderId="0" xfId="2" applyFont="1">
      <alignment vertical="center"/>
    </xf>
    <xf numFmtId="41" fontId="0" fillId="0" borderId="0" xfId="0" applyNumberFormat="1">
      <alignment vertical="center"/>
    </xf>
    <xf numFmtId="41" fontId="0" fillId="0" borderId="0" xfId="1" applyFont="1">
      <alignment vertical="center"/>
    </xf>
    <xf numFmtId="41" fontId="5" fillId="0" borderId="2" xfId="1" applyFont="1" applyBorder="1" applyAlignment="1">
      <alignment horizontal="center" vertical="center" wrapText="1"/>
    </xf>
    <xf numFmtId="41" fontId="0" fillId="0" borderId="0" xfId="1" applyFont="1" applyAlignment="1">
      <alignment horizontal="center" vertical="center"/>
    </xf>
    <xf numFmtId="0" fontId="5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8" fillId="0" borderId="0" xfId="0" applyFont="1">
      <alignment vertical="center"/>
    </xf>
    <xf numFmtId="0" fontId="0" fillId="0" borderId="0" xfId="0" quotePrefix="1">
      <alignment vertical="center"/>
    </xf>
    <xf numFmtId="9" fontId="0" fillId="0" borderId="0" xfId="0" applyNumberForma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3" fontId="5" fillId="0" borderId="4" xfId="0" applyNumberFormat="1" applyFont="1" applyBorder="1" applyAlignment="1">
      <alignment horizontal="right" vertical="center"/>
    </xf>
    <xf numFmtId="0" fontId="5" fillId="0" borderId="5" xfId="0" applyFont="1" applyBorder="1">
      <alignment vertical="center"/>
    </xf>
    <xf numFmtId="0" fontId="5" fillId="0" borderId="5" xfId="0" applyFont="1" applyBorder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0" fontId="0" fillId="0" borderId="5" xfId="0" applyBorder="1">
      <alignment vertical="center"/>
    </xf>
    <xf numFmtId="0" fontId="9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0" fillId="0" borderId="6" xfId="0" applyBorder="1">
      <alignment vertical="center"/>
    </xf>
    <xf numFmtId="0" fontId="5" fillId="0" borderId="6" xfId="0" applyFont="1" applyBorder="1" applyAlignment="1">
      <alignment horizontal="right" vertical="center"/>
    </xf>
    <xf numFmtId="3" fontId="0" fillId="0" borderId="4" xfId="0" applyNumberFormat="1" applyBorder="1">
      <alignment vertical="center"/>
    </xf>
    <xf numFmtId="3" fontId="0" fillId="0" borderId="6" xfId="0" applyNumberFormat="1" applyBorder="1">
      <alignment vertical="center"/>
    </xf>
    <xf numFmtId="0" fontId="10" fillId="0" borderId="0" xfId="0" applyFont="1">
      <alignment vertical="center"/>
    </xf>
    <xf numFmtId="0" fontId="0" fillId="0" borderId="0" xfId="0" quotePrefix="1" applyAlignment="1">
      <alignment horizontal="left" vertical="center"/>
    </xf>
    <xf numFmtId="0" fontId="1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3" fillId="0" borderId="0" xfId="0" applyFont="1" applyAlignment="1">
      <alignment horizontal="left" vertical="center" indent="1"/>
    </xf>
    <xf numFmtId="0" fontId="0" fillId="2" borderId="0" xfId="0" applyFill="1">
      <alignment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0" fillId="0" borderId="0" xfId="1" applyNumberFormat="1" applyFont="1">
      <alignment vertical="center"/>
    </xf>
    <xf numFmtId="0" fontId="16" fillId="0" borderId="1" xfId="0" applyFont="1" applyBorder="1" applyAlignment="1">
      <alignment vertical="center" wrapText="1" readingOrder="1"/>
    </xf>
    <xf numFmtId="0" fontId="5" fillId="0" borderId="2" xfId="0" applyFont="1" applyBorder="1" applyAlignment="1">
      <alignment wrapText="1"/>
    </xf>
    <xf numFmtId="0" fontId="5" fillId="0" borderId="2" xfId="0" applyFont="1" applyBorder="1">
      <alignment vertical="center"/>
    </xf>
    <xf numFmtId="0" fontId="7" fillId="0" borderId="2" xfId="0" applyFont="1" applyBorder="1" applyAlignment="1">
      <alignment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DD2E-3E77-4821-9011-94C9300B59C6}">
  <dimension ref="A1:Q94"/>
  <sheetViews>
    <sheetView zoomScaleNormal="100" workbookViewId="0">
      <selection activeCell="A10" sqref="A10"/>
    </sheetView>
  </sheetViews>
  <sheetFormatPr defaultRowHeight="16.5" x14ac:dyDescent="0.3"/>
  <cols>
    <col min="1" max="1" width="11.5" style="1" customWidth="1"/>
    <col min="2" max="2" width="14.75" style="1" customWidth="1"/>
    <col min="3" max="3" width="37.25" customWidth="1"/>
    <col min="4" max="4" width="27.125" customWidth="1"/>
    <col min="5" max="5" width="9" style="1"/>
    <col min="8" max="8" width="15.875" customWidth="1"/>
    <col min="9" max="9" width="12" customWidth="1"/>
    <col min="10" max="10" width="38.125" bestFit="1" customWidth="1"/>
    <col min="11" max="11" width="12" customWidth="1"/>
    <col min="12" max="12" width="33" customWidth="1"/>
    <col min="13" max="13" width="12.25" customWidth="1"/>
    <col min="15" max="15" width="0" hidden="1" customWidth="1"/>
    <col min="16" max="17" width="57" hidden="1" customWidth="1"/>
    <col min="18" max="18" width="0" hidden="1" customWidth="1"/>
  </cols>
  <sheetData>
    <row r="1" spans="1:17" x14ac:dyDescent="0.3">
      <c r="A1" s="2" t="s">
        <v>4</v>
      </c>
    </row>
    <row r="2" spans="1:17" ht="17.25" x14ac:dyDescent="0.3">
      <c r="A2" s="13" t="s">
        <v>426</v>
      </c>
      <c r="D2" t="s">
        <v>427</v>
      </c>
    </row>
    <row r="3" spans="1:17" x14ac:dyDescent="0.3">
      <c r="A3" s="2" t="s">
        <v>163</v>
      </c>
      <c r="B3" s="2" t="s">
        <v>164</v>
      </c>
    </row>
    <row r="4" spans="1:17" x14ac:dyDescent="0.3">
      <c r="A4" s="2"/>
      <c r="B4" s="2" t="s">
        <v>165</v>
      </c>
    </row>
    <row r="5" spans="1:17" x14ac:dyDescent="0.3">
      <c r="A5" s="2"/>
      <c r="B5" s="2" t="s">
        <v>389</v>
      </c>
    </row>
    <row r="6" spans="1:17" x14ac:dyDescent="0.3">
      <c r="A6" s="2"/>
      <c r="B6" s="2"/>
    </row>
    <row r="7" spans="1:17" x14ac:dyDescent="0.3">
      <c r="A7" s="31" t="s">
        <v>969</v>
      </c>
      <c r="B7" s="2"/>
    </row>
    <row r="8" spans="1:17" x14ac:dyDescent="0.3">
      <c r="A8" s="31" t="s">
        <v>970</v>
      </c>
      <c r="B8" s="2"/>
    </row>
    <row r="9" spans="1:17" x14ac:dyDescent="0.3">
      <c r="A9" s="31" t="s">
        <v>1088</v>
      </c>
      <c r="B9" s="2"/>
    </row>
    <row r="10" spans="1:17" x14ac:dyDescent="0.3">
      <c r="A10" s="2"/>
      <c r="B10" s="2"/>
    </row>
    <row r="11" spans="1:17" x14ac:dyDescent="0.3">
      <c r="A11" s="2"/>
      <c r="B11" s="2"/>
      <c r="G11" s="6">
        <f>G12/F12</f>
        <v>0.31578947368421051</v>
      </c>
    </row>
    <row r="12" spans="1:17" ht="17.25" thickBot="1" x14ac:dyDescent="0.35">
      <c r="F12">
        <f>COUNTA(F14:F70)</f>
        <v>57</v>
      </c>
      <c r="G12">
        <f>COUNTA(G14:G70)</f>
        <v>18</v>
      </c>
    </row>
    <row r="13" spans="1:17" ht="17.25" thickBot="1" x14ac:dyDescent="0.4">
      <c r="A13" s="3" t="s">
        <v>1</v>
      </c>
      <c r="B13" s="3" t="s">
        <v>6</v>
      </c>
      <c r="C13" s="3" t="s">
        <v>10</v>
      </c>
      <c r="D13" s="3" t="s">
        <v>8</v>
      </c>
      <c r="E13" s="3" t="s">
        <v>31</v>
      </c>
      <c r="F13" s="3" t="s">
        <v>189</v>
      </c>
      <c r="G13" s="3" t="s">
        <v>190</v>
      </c>
      <c r="H13" s="3" t="s">
        <v>198</v>
      </c>
      <c r="I13" s="3" t="s">
        <v>38</v>
      </c>
      <c r="J13" s="12" t="s">
        <v>363</v>
      </c>
      <c r="K13" s="3" t="s">
        <v>265</v>
      </c>
      <c r="L13" s="11" t="s">
        <v>364</v>
      </c>
      <c r="M13" s="3"/>
      <c r="P13" s="4" t="s">
        <v>211</v>
      </c>
      <c r="Q13" s="4" t="s">
        <v>212</v>
      </c>
    </row>
    <row r="14" spans="1:17" ht="17.25" thickBot="1" x14ac:dyDescent="0.35">
      <c r="A14" s="1" t="s">
        <v>3</v>
      </c>
      <c r="B14" s="1" t="s">
        <v>12</v>
      </c>
      <c r="C14" t="s">
        <v>13</v>
      </c>
      <c r="D14" t="s">
        <v>15</v>
      </c>
      <c r="E14" s="1" t="s">
        <v>35</v>
      </c>
      <c r="F14" s="1" t="s">
        <v>191</v>
      </c>
      <c r="G14" s="1" t="s">
        <v>191</v>
      </c>
      <c r="H14" s="1" t="s">
        <v>199</v>
      </c>
      <c r="I14" s="9">
        <v>15000</v>
      </c>
      <c r="J14" t="s">
        <v>266</v>
      </c>
      <c r="K14" s="9">
        <v>1500</v>
      </c>
      <c r="L14" t="s">
        <v>314</v>
      </c>
      <c r="M14" s="10">
        <f t="shared" ref="M14:M45" si="0">K14-I14</f>
        <v>-13500</v>
      </c>
      <c r="P14" s="5" t="s">
        <v>214</v>
      </c>
      <c r="Q14" s="5" t="s">
        <v>215</v>
      </c>
    </row>
    <row r="15" spans="1:17" ht="29.25" thickBot="1" x14ac:dyDescent="0.35">
      <c r="B15" s="1" t="s">
        <v>17</v>
      </c>
      <c r="C15" t="s">
        <v>19</v>
      </c>
      <c r="D15" t="s">
        <v>366</v>
      </c>
      <c r="E15" s="1" t="s">
        <v>33</v>
      </c>
      <c r="F15" s="1" t="s">
        <v>191</v>
      </c>
      <c r="G15" s="1"/>
      <c r="H15" s="1"/>
      <c r="I15" s="9">
        <f>300000*6/12</f>
        <v>150000</v>
      </c>
      <c r="J15" t="s">
        <v>369</v>
      </c>
      <c r="K15" s="9">
        <v>0</v>
      </c>
      <c r="L15" t="s">
        <v>367</v>
      </c>
      <c r="M15" s="10">
        <f t="shared" si="0"/>
        <v>-150000</v>
      </c>
      <c r="P15" s="5" t="s">
        <v>217</v>
      </c>
      <c r="Q15" s="5" t="s">
        <v>218</v>
      </c>
    </row>
    <row r="16" spans="1:17" ht="29.25" thickBot="1" x14ac:dyDescent="0.35">
      <c r="B16" s="1" t="s">
        <v>21</v>
      </c>
      <c r="C16" t="s">
        <v>22</v>
      </c>
      <c r="D16" t="s">
        <v>24</v>
      </c>
      <c r="E16" s="1" t="s">
        <v>33</v>
      </c>
      <c r="F16" s="1" t="s">
        <v>191</v>
      </c>
      <c r="G16" s="1"/>
      <c r="H16" s="1"/>
      <c r="I16" s="9">
        <v>150000</v>
      </c>
      <c r="J16" t="s">
        <v>267</v>
      </c>
      <c r="K16" s="9">
        <v>30000</v>
      </c>
      <c r="L16" t="s">
        <v>315</v>
      </c>
      <c r="M16" s="10">
        <f t="shared" si="0"/>
        <v>-120000</v>
      </c>
      <c r="P16" s="5" t="s">
        <v>220</v>
      </c>
      <c r="Q16" s="5" t="s">
        <v>221</v>
      </c>
    </row>
    <row r="17" spans="2:17" ht="17.25" thickBot="1" x14ac:dyDescent="0.35">
      <c r="B17" s="1" t="s">
        <v>26</v>
      </c>
      <c r="C17" t="s">
        <v>27</v>
      </c>
      <c r="D17" t="s">
        <v>29</v>
      </c>
      <c r="E17" s="1" t="s">
        <v>33</v>
      </c>
      <c r="F17" s="1" t="s">
        <v>191</v>
      </c>
      <c r="G17" s="1"/>
      <c r="H17" s="1"/>
      <c r="I17" s="9">
        <v>60000</v>
      </c>
      <c r="J17" t="s">
        <v>368</v>
      </c>
      <c r="K17" s="9">
        <v>5000</v>
      </c>
      <c r="L17" t="s">
        <v>316</v>
      </c>
      <c r="M17" s="10">
        <f t="shared" si="0"/>
        <v>-55000</v>
      </c>
    </row>
    <row r="18" spans="2:17" ht="17.25" thickBot="1" x14ac:dyDescent="0.35">
      <c r="D18" t="s">
        <v>99</v>
      </c>
      <c r="E18" s="1" t="s">
        <v>183</v>
      </c>
      <c r="F18" s="1" t="s">
        <v>191</v>
      </c>
      <c r="G18" s="1"/>
      <c r="H18" s="1"/>
      <c r="I18" s="9">
        <v>100000</v>
      </c>
      <c r="J18" t="s">
        <v>268</v>
      </c>
      <c r="K18" s="9">
        <v>20000</v>
      </c>
      <c r="L18" t="s">
        <v>317</v>
      </c>
      <c r="M18" s="10">
        <f t="shared" si="0"/>
        <v>-80000</v>
      </c>
    </row>
    <row r="19" spans="2:17" ht="29.25" thickBot="1" x14ac:dyDescent="0.35">
      <c r="D19" t="s">
        <v>193</v>
      </c>
      <c r="E19" s="1" t="s">
        <v>35</v>
      </c>
      <c r="F19" s="1" t="s">
        <v>191</v>
      </c>
      <c r="G19" s="1"/>
      <c r="H19" s="1"/>
      <c r="I19" s="9">
        <v>20000</v>
      </c>
      <c r="J19" t="s">
        <v>269</v>
      </c>
      <c r="K19" s="9">
        <v>0</v>
      </c>
      <c r="L19" t="s">
        <v>318</v>
      </c>
      <c r="M19" s="10">
        <f t="shared" si="0"/>
        <v>-20000</v>
      </c>
      <c r="P19" s="5" t="s">
        <v>223</v>
      </c>
      <c r="Q19" s="5" t="s">
        <v>224</v>
      </c>
    </row>
    <row r="20" spans="2:17" ht="29.25" thickBot="1" x14ac:dyDescent="0.35">
      <c r="B20" s="1" t="s">
        <v>37</v>
      </c>
      <c r="C20" t="s">
        <v>120</v>
      </c>
      <c r="D20" t="s">
        <v>39</v>
      </c>
      <c r="E20" s="1" t="s">
        <v>41</v>
      </c>
      <c r="F20" s="1" t="s">
        <v>191</v>
      </c>
      <c r="G20" s="1" t="s">
        <v>191</v>
      </c>
      <c r="H20" s="1" t="s">
        <v>200</v>
      </c>
      <c r="I20" s="9">
        <v>0</v>
      </c>
      <c r="J20" t="s">
        <v>270</v>
      </c>
      <c r="K20" s="9">
        <v>10000</v>
      </c>
      <c r="L20" t="s">
        <v>319</v>
      </c>
      <c r="M20" s="10">
        <f t="shared" si="0"/>
        <v>10000</v>
      </c>
      <c r="P20" s="5" t="s">
        <v>226</v>
      </c>
      <c r="Q20" s="5" t="s">
        <v>227</v>
      </c>
    </row>
    <row r="21" spans="2:17" ht="17.25" thickBot="1" x14ac:dyDescent="0.35">
      <c r="D21" t="s">
        <v>43</v>
      </c>
      <c r="E21" s="1" t="s">
        <v>185</v>
      </c>
      <c r="F21" s="1" t="s">
        <v>191</v>
      </c>
      <c r="G21" s="1" t="s">
        <v>191</v>
      </c>
      <c r="H21" s="1" t="s">
        <v>201</v>
      </c>
      <c r="I21" s="9">
        <f>5000*30</f>
        <v>150000</v>
      </c>
      <c r="J21" t="s">
        <v>370</v>
      </c>
      <c r="K21" s="9">
        <f>700*30</f>
        <v>21000</v>
      </c>
      <c r="L21" t="s">
        <v>371</v>
      </c>
      <c r="M21" s="10">
        <f t="shared" si="0"/>
        <v>-129000</v>
      </c>
    </row>
    <row r="22" spans="2:17" ht="17.25" thickBot="1" x14ac:dyDescent="0.35">
      <c r="D22" t="s">
        <v>45</v>
      </c>
      <c r="E22" s="1" t="s">
        <v>185</v>
      </c>
      <c r="F22" s="1" t="s">
        <v>191</v>
      </c>
      <c r="G22" s="1" t="s">
        <v>191</v>
      </c>
      <c r="H22" s="1" t="s">
        <v>201</v>
      </c>
      <c r="I22" s="9">
        <f>3000*10</f>
        <v>30000</v>
      </c>
      <c r="J22" t="s">
        <v>374</v>
      </c>
      <c r="K22" s="9">
        <f>50*30</f>
        <v>1500</v>
      </c>
      <c r="L22" t="s">
        <v>373</v>
      </c>
      <c r="M22" s="10">
        <f t="shared" si="0"/>
        <v>-28500</v>
      </c>
    </row>
    <row r="23" spans="2:17" ht="17.25" thickBot="1" x14ac:dyDescent="0.35">
      <c r="D23" t="s">
        <v>62</v>
      </c>
      <c r="E23" s="1" t="s">
        <v>33</v>
      </c>
      <c r="F23" s="1" t="s">
        <v>191</v>
      </c>
      <c r="G23" s="1" t="s">
        <v>191</v>
      </c>
      <c r="H23" s="1" t="s">
        <v>202</v>
      </c>
      <c r="I23" s="9">
        <f>20000/20</f>
        <v>1000</v>
      </c>
      <c r="J23" t="s">
        <v>375</v>
      </c>
      <c r="K23" s="9">
        <f>4000/20</f>
        <v>200</v>
      </c>
      <c r="L23" t="s">
        <v>376</v>
      </c>
      <c r="M23" s="10">
        <f t="shared" si="0"/>
        <v>-800</v>
      </c>
    </row>
    <row r="24" spans="2:17" ht="17.25" thickBot="1" x14ac:dyDescent="0.35">
      <c r="D24" t="s">
        <v>142</v>
      </c>
      <c r="E24" s="1" t="s">
        <v>41</v>
      </c>
      <c r="F24" s="1" t="s">
        <v>191</v>
      </c>
      <c r="G24" s="1"/>
      <c r="H24" s="1"/>
      <c r="I24" s="9">
        <f>600000/24</f>
        <v>25000</v>
      </c>
      <c r="J24" t="s">
        <v>377</v>
      </c>
      <c r="K24" s="9">
        <f>300000/60</f>
        <v>5000</v>
      </c>
      <c r="L24" t="s">
        <v>378</v>
      </c>
      <c r="M24" s="10">
        <f t="shared" si="0"/>
        <v>-20000</v>
      </c>
    </row>
    <row r="25" spans="2:17" ht="17.25" thickBot="1" x14ac:dyDescent="0.35">
      <c r="D25" t="s">
        <v>148</v>
      </c>
      <c r="E25" s="1" t="s">
        <v>186</v>
      </c>
      <c r="F25" s="1" t="s">
        <v>191</v>
      </c>
      <c r="G25" s="1" t="s">
        <v>191</v>
      </c>
      <c r="H25" s="1" t="s">
        <v>203</v>
      </c>
      <c r="I25" s="9">
        <v>50000</v>
      </c>
      <c r="J25" t="s">
        <v>272</v>
      </c>
      <c r="K25" s="9">
        <v>5000</v>
      </c>
      <c r="L25" t="s">
        <v>380</v>
      </c>
      <c r="M25" s="10">
        <f t="shared" si="0"/>
        <v>-45000</v>
      </c>
    </row>
    <row r="26" spans="2:17" ht="17.25" thickBot="1" x14ac:dyDescent="0.35">
      <c r="C26" t="s">
        <v>156</v>
      </c>
      <c r="D26" t="s">
        <v>154</v>
      </c>
      <c r="E26" s="1" t="s">
        <v>41</v>
      </c>
      <c r="F26" s="1" t="s">
        <v>191</v>
      </c>
      <c r="G26" s="1" t="s">
        <v>191</v>
      </c>
      <c r="H26" s="1" t="s">
        <v>204</v>
      </c>
      <c r="I26" s="9">
        <v>30000</v>
      </c>
      <c r="J26" t="s">
        <v>273</v>
      </c>
      <c r="K26" s="9">
        <v>3000</v>
      </c>
      <c r="L26" t="s">
        <v>320</v>
      </c>
      <c r="M26" s="10">
        <f t="shared" si="0"/>
        <v>-27000</v>
      </c>
    </row>
    <row r="27" spans="2:17" ht="17.25" thickBot="1" x14ac:dyDescent="0.35">
      <c r="D27" t="s">
        <v>158</v>
      </c>
      <c r="E27" s="1" t="s">
        <v>33</v>
      </c>
      <c r="F27" s="1" t="s">
        <v>191</v>
      </c>
      <c r="G27" s="1" t="s">
        <v>191</v>
      </c>
      <c r="H27" s="1" t="s">
        <v>205</v>
      </c>
      <c r="I27" s="9">
        <v>15000</v>
      </c>
      <c r="J27" t="s">
        <v>274</v>
      </c>
      <c r="K27" s="9">
        <v>3000</v>
      </c>
      <c r="L27" t="s">
        <v>381</v>
      </c>
      <c r="M27" s="10">
        <f t="shared" si="0"/>
        <v>-12000</v>
      </c>
    </row>
    <row r="28" spans="2:17" ht="17.25" thickBot="1" x14ac:dyDescent="0.35">
      <c r="D28" t="s">
        <v>160</v>
      </c>
      <c r="E28" s="1" t="s">
        <v>33</v>
      </c>
      <c r="F28" s="1" t="s">
        <v>191</v>
      </c>
      <c r="G28" s="1"/>
      <c r="H28" s="1"/>
      <c r="I28" s="9">
        <v>20000</v>
      </c>
      <c r="J28" t="s">
        <v>275</v>
      </c>
      <c r="K28" s="9">
        <v>3000</v>
      </c>
      <c r="L28" t="s">
        <v>321</v>
      </c>
      <c r="M28" s="10">
        <f t="shared" si="0"/>
        <v>-17000</v>
      </c>
    </row>
    <row r="29" spans="2:17" ht="17.25" thickBot="1" x14ac:dyDescent="0.35">
      <c r="D29" t="s">
        <v>162</v>
      </c>
      <c r="E29" s="1" t="s">
        <v>33</v>
      </c>
      <c r="F29" s="1" t="s">
        <v>191</v>
      </c>
      <c r="G29" s="1"/>
      <c r="H29" s="1"/>
      <c r="I29" s="9">
        <f>100000/12</f>
        <v>8333.3333333333339</v>
      </c>
      <c r="J29" t="s">
        <v>382</v>
      </c>
      <c r="K29" s="9">
        <v>1000</v>
      </c>
      <c r="L29" t="s">
        <v>322</v>
      </c>
      <c r="M29" s="10">
        <f t="shared" si="0"/>
        <v>-7333.3333333333339</v>
      </c>
    </row>
    <row r="30" spans="2:17" ht="29.25" thickBot="1" x14ac:dyDescent="0.35">
      <c r="B30" s="1" t="s">
        <v>112</v>
      </c>
      <c r="C30" t="s">
        <v>113</v>
      </c>
      <c r="D30" t="s">
        <v>115</v>
      </c>
      <c r="E30" s="1" t="s">
        <v>186</v>
      </c>
      <c r="F30" s="1" t="s">
        <v>191</v>
      </c>
      <c r="G30" s="1" t="s">
        <v>191</v>
      </c>
      <c r="H30" s="1" t="s">
        <v>206</v>
      </c>
      <c r="I30" s="9">
        <f>1500000/24</f>
        <v>62500</v>
      </c>
      <c r="J30" t="s">
        <v>383</v>
      </c>
      <c r="K30" s="9">
        <f>100000/12</f>
        <v>8333.3333333333339</v>
      </c>
      <c r="L30" t="s">
        <v>323</v>
      </c>
      <c r="M30" s="10">
        <f t="shared" si="0"/>
        <v>-54166.666666666664</v>
      </c>
      <c r="P30" s="5" t="s">
        <v>229</v>
      </c>
      <c r="Q30" s="5" t="s">
        <v>230</v>
      </c>
    </row>
    <row r="31" spans="2:17" ht="17.25" thickBot="1" x14ac:dyDescent="0.35">
      <c r="D31" t="s">
        <v>117</v>
      </c>
      <c r="E31" s="1" t="s">
        <v>35</v>
      </c>
      <c r="F31" s="1" t="s">
        <v>191</v>
      </c>
      <c r="G31" s="1"/>
      <c r="H31" s="1"/>
      <c r="I31" s="9">
        <v>10000</v>
      </c>
      <c r="J31" t="s">
        <v>276</v>
      </c>
      <c r="K31" s="9">
        <v>200</v>
      </c>
      <c r="L31" t="s">
        <v>324</v>
      </c>
      <c r="M31" s="10">
        <f t="shared" si="0"/>
        <v>-9800</v>
      </c>
    </row>
    <row r="32" spans="2:17" ht="17.25" thickBot="1" x14ac:dyDescent="0.35">
      <c r="D32" t="s">
        <v>118</v>
      </c>
      <c r="E32" s="1" t="s">
        <v>35</v>
      </c>
      <c r="F32" s="1" t="s">
        <v>191</v>
      </c>
      <c r="G32" s="1"/>
      <c r="H32" s="1"/>
      <c r="I32" s="9">
        <v>15000</v>
      </c>
      <c r="J32" t="s">
        <v>384</v>
      </c>
      <c r="K32" s="9">
        <v>2000</v>
      </c>
      <c r="L32" t="s">
        <v>385</v>
      </c>
      <c r="M32" s="10">
        <f t="shared" si="0"/>
        <v>-13000</v>
      </c>
    </row>
    <row r="33" spans="2:17" ht="17.25" thickBot="1" x14ac:dyDescent="0.35">
      <c r="C33" t="s">
        <v>101</v>
      </c>
      <c r="D33" t="s">
        <v>103</v>
      </c>
      <c r="E33" s="1" t="s">
        <v>188</v>
      </c>
      <c r="F33" s="1" t="s">
        <v>191</v>
      </c>
      <c r="G33" s="1" t="s">
        <v>191</v>
      </c>
      <c r="H33" s="1" t="s">
        <v>207</v>
      </c>
      <c r="I33" s="9">
        <v>0</v>
      </c>
      <c r="J33" t="s">
        <v>277</v>
      </c>
      <c r="K33" s="9">
        <v>1000</v>
      </c>
      <c r="L33" t="s">
        <v>325</v>
      </c>
      <c r="M33" s="10">
        <f t="shared" si="0"/>
        <v>1000</v>
      </c>
    </row>
    <row r="34" spans="2:17" ht="29.25" thickBot="1" x14ac:dyDescent="0.35">
      <c r="B34" s="1" t="s">
        <v>48</v>
      </c>
      <c r="C34" t="s">
        <v>46</v>
      </c>
      <c r="D34" t="s">
        <v>50</v>
      </c>
      <c r="E34" s="1" t="s">
        <v>41</v>
      </c>
      <c r="F34" s="1" t="s">
        <v>191</v>
      </c>
      <c r="G34" s="1"/>
      <c r="H34" s="1"/>
      <c r="I34" s="9"/>
      <c r="J34" t="s">
        <v>278</v>
      </c>
      <c r="K34" s="9">
        <f>7000000/120</f>
        <v>58333.333333333336</v>
      </c>
      <c r="L34" t="s">
        <v>326</v>
      </c>
      <c r="M34" s="10">
        <f t="shared" si="0"/>
        <v>58333.333333333336</v>
      </c>
      <c r="P34" s="5" t="s">
        <v>232</v>
      </c>
      <c r="Q34" s="5" t="s">
        <v>233</v>
      </c>
    </row>
    <row r="35" spans="2:17" ht="17.25" thickBot="1" x14ac:dyDescent="0.35">
      <c r="D35" t="s">
        <v>52</v>
      </c>
      <c r="E35" s="1" t="s">
        <v>41</v>
      </c>
      <c r="F35" s="1" t="s">
        <v>191</v>
      </c>
      <c r="G35" s="1"/>
      <c r="H35" s="1"/>
      <c r="I35" s="9"/>
      <c r="J35" t="s">
        <v>279</v>
      </c>
      <c r="K35" s="9">
        <f>3500000/120</f>
        <v>29166.666666666668</v>
      </c>
      <c r="L35" t="s">
        <v>327</v>
      </c>
      <c r="M35" s="10">
        <f t="shared" si="0"/>
        <v>29166.666666666668</v>
      </c>
    </row>
    <row r="36" spans="2:17" ht="17.25" thickBot="1" x14ac:dyDescent="0.35">
      <c r="D36" t="s">
        <v>54</v>
      </c>
      <c r="E36" s="1" t="s">
        <v>186</v>
      </c>
      <c r="F36" s="1" t="s">
        <v>191</v>
      </c>
      <c r="G36" s="1" t="s">
        <v>191</v>
      </c>
      <c r="H36" s="1" t="s">
        <v>206</v>
      </c>
      <c r="I36" s="9"/>
      <c r="J36" t="s">
        <v>280</v>
      </c>
      <c r="K36" s="9">
        <f>1300000/180</f>
        <v>7222.2222222222226</v>
      </c>
      <c r="L36" t="s">
        <v>328</v>
      </c>
      <c r="M36" s="10">
        <f t="shared" si="0"/>
        <v>7222.2222222222226</v>
      </c>
    </row>
    <row r="37" spans="2:17" ht="17.25" thickBot="1" x14ac:dyDescent="0.35">
      <c r="D37" t="s">
        <v>56</v>
      </c>
      <c r="E37" s="1" t="s">
        <v>41</v>
      </c>
      <c r="F37" s="1" t="s">
        <v>191</v>
      </c>
      <c r="G37" s="1"/>
      <c r="H37" s="1"/>
      <c r="I37" s="9">
        <v>100000</v>
      </c>
      <c r="J37" t="s">
        <v>281</v>
      </c>
      <c r="K37" s="9">
        <v>15000</v>
      </c>
      <c r="L37" t="s">
        <v>329</v>
      </c>
      <c r="M37" s="10">
        <f t="shared" si="0"/>
        <v>-85000</v>
      </c>
    </row>
    <row r="38" spans="2:17" ht="17.25" thickBot="1" x14ac:dyDescent="0.35">
      <c r="D38" t="s">
        <v>58</v>
      </c>
      <c r="E38" s="1" t="s">
        <v>41</v>
      </c>
      <c r="F38" s="1" t="s">
        <v>191</v>
      </c>
      <c r="G38" s="1"/>
      <c r="H38" s="1"/>
      <c r="I38" s="9">
        <f>250000/36</f>
        <v>6944.4444444444443</v>
      </c>
      <c r="J38" t="s">
        <v>282</v>
      </c>
      <c r="K38" s="9">
        <f>30000/36</f>
        <v>833.33333333333337</v>
      </c>
      <c r="L38" t="s">
        <v>330</v>
      </c>
      <c r="M38" s="10">
        <f t="shared" si="0"/>
        <v>-6111.1111111111113</v>
      </c>
    </row>
    <row r="39" spans="2:17" ht="17.25" thickBot="1" x14ac:dyDescent="0.35">
      <c r="D39" t="s">
        <v>60</v>
      </c>
      <c r="E39" s="1" t="s">
        <v>41</v>
      </c>
      <c r="F39" s="1" t="s">
        <v>191</v>
      </c>
      <c r="G39" s="1" t="s">
        <v>191</v>
      </c>
      <c r="H39" s="1" t="s">
        <v>208</v>
      </c>
      <c r="I39" s="9">
        <v>100000</v>
      </c>
      <c r="J39" t="s">
        <v>283</v>
      </c>
      <c r="K39" s="9">
        <f>1200000*0.75*0.6/12</f>
        <v>45000</v>
      </c>
      <c r="L39" t="s">
        <v>331</v>
      </c>
      <c r="M39" s="10">
        <f t="shared" si="0"/>
        <v>-55000</v>
      </c>
    </row>
    <row r="40" spans="2:17" ht="29.25" thickBot="1" x14ac:dyDescent="0.35">
      <c r="B40" s="1" t="s">
        <v>64</v>
      </c>
      <c r="C40" t="s">
        <v>71</v>
      </c>
      <c r="D40" t="s">
        <v>66</v>
      </c>
      <c r="E40" s="1" t="s">
        <v>33</v>
      </c>
      <c r="F40" s="1" t="s">
        <v>191</v>
      </c>
      <c r="G40" s="1"/>
      <c r="H40" s="1"/>
      <c r="I40" s="9">
        <v>40000</v>
      </c>
      <c r="J40" t="s">
        <v>284</v>
      </c>
      <c r="K40" s="9">
        <f>30000/60+10000*2/12</f>
        <v>2166.666666666667</v>
      </c>
      <c r="L40" t="s">
        <v>332</v>
      </c>
      <c r="M40" s="10">
        <f t="shared" si="0"/>
        <v>-37833.333333333336</v>
      </c>
      <c r="P40" s="5" t="s">
        <v>235</v>
      </c>
      <c r="Q40" s="5" t="s">
        <v>236</v>
      </c>
    </row>
    <row r="41" spans="2:17" ht="17.25" thickBot="1" x14ac:dyDescent="0.35">
      <c r="D41" t="s">
        <v>68</v>
      </c>
      <c r="E41" s="1" t="s">
        <v>33</v>
      </c>
      <c r="F41" s="1" t="s">
        <v>191</v>
      </c>
      <c r="G41" s="1"/>
      <c r="H41" s="1"/>
      <c r="I41" s="9">
        <v>45000</v>
      </c>
      <c r="J41" t="s">
        <v>285</v>
      </c>
      <c r="K41" s="9">
        <f>198000/48+45000*2/12</f>
        <v>11625</v>
      </c>
      <c r="L41" t="s">
        <v>333</v>
      </c>
      <c r="M41" s="10">
        <f t="shared" si="0"/>
        <v>-33375</v>
      </c>
    </row>
    <row r="42" spans="2:17" ht="17.25" thickBot="1" x14ac:dyDescent="0.35">
      <c r="D42" t="s">
        <v>70</v>
      </c>
      <c r="E42" s="1" t="s">
        <v>33</v>
      </c>
      <c r="F42" s="1" t="s">
        <v>191</v>
      </c>
      <c r="G42" s="1"/>
      <c r="H42" s="1"/>
      <c r="I42" s="9">
        <v>20000</v>
      </c>
      <c r="J42" t="s">
        <v>286</v>
      </c>
      <c r="K42" s="9">
        <f>15000/24</f>
        <v>625</v>
      </c>
      <c r="L42" t="s">
        <v>334</v>
      </c>
      <c r="M42" s="10">
        <f t="shared" si="0"/>
        <v>-19375</v>
      </c>
    </row>
    <row r="43" spans="2:17" ht="17.25" thickBot="1" x14ac:dyDescent="0.35">
      <c r="D43" t="s">
        <v>90</v>
      </c>
      <c r="E43" s="1" t="s">
        <v>186</v>
      </c>
      <c r="F43" s="1" t="s">
        <v>191</v>
      </c>
      <c r="G43" s="1"/>
      <c r="H43" s="1"/>
      <c r="I43" s="9">
        <v>15000</v>
      </c>
      <c r="J43" t="s">
        <v>287</v>
      </c>
      <c r="K43" s="9">
        <f>15000/36+40000/48</f>
        <v>1250</v>
      </c>
      <c r="L43" t="s">
        <v>335</v>
      </c>
      <c r="M43" s="10">
        <f t="shared" si="0"/>
        <v>-13750</v>
      </c>
    </row>
    <row r="44" spans="2:17" ht="17.25" thickBot="1" x14ac:dyDescent="0.35">
      <c r="D44" t="s">
        <v>110</v>
      </c>
      <c r="E44" s="1" t="s">
        <v>188</v>
      </c>
      <c r="F44" s="1" t="s">
        <v>191</v>
      </c>
      <c r="G44" s="1"/>
      <c r="H44" s="1"/>
      <c r="I44" s="9">
        <v>20000</v>
      </c>
      <c r="J44" t="s">
        <v>288</v>
      </c>
      <c r="K44" s="9">
        <v>3000</v>
      </c>
      <c r="L44" t="s">
        <v>336</v>
      </c>
      <c r="M44" s="10">
        <f t="shared" si="0"/>
        <v>-17000</v>
      </c>
    </row>
    <row r="45" spans="2:17" ht="17.25" thickBot="1" x14ac:dyDescent="0.35">
      <c r="D45" t="s">
        <v>128</v>
      </c>
      <c r="E45" s="1" t="s">
        <v>188</v>
      </c>
      <c r="F45" s="1" t="s">
        <v>191</v>
      </c>
      <c r="G45" s="1"/>
      <c r="H45" s="1"/>
      <c r="I45" s="9">
        <f>200000*4/24</f>
        <v>33333.333333333336</v>
      </c>
      <c r="J45" t="s">
        <v>289</v>
      </c>
      <c r="K45" s="9">
        <f>50000*4/24</f>
        <v>8333.3333333333339</v>
      </c>
      <c r="L45" t="s">
        <v>337</v>
      </c>
      <c r="M45" s="10">
        <f t="shared" si="0"/>
        <v>-25000</v>
      </c>
    </row>
    <row r="46" spans="2:17" ht="17.25" thickBot="1" x14ac:dyDescent="0.35">
      <c r="D46" t="s">
        <v>195</v>
      </c>
      <c r="E46" s="1" t="s">
        <v>186</v>
      </c>
      <c r="F46" s="1" t="s">
        <v>191</v>
      </c>
      <c r="G46" s="1" t="s">
        <v>191</v>
      </c>
      <c r="H46" s="1" t="s">
        <v>207</v>
      </c>
      <c r="I46" s="9">
        <v>30000</v>
      </c>
      <c r="J46" t="s">
        <v>290</v>
      </c>
      <c r="K46" s="9">
        <v>10000</v>
      </c>
      <c r="L46" t="s">
        <v>386</v>
      </c>
      <c r="M46" s="10">
        <f t="shared" ref="M46:M70" si="1">K46-I46</f>
        <v>-20000</v>
      </c>
    </row>
    <row r="47" spans="2:17" ht="17.25" thickBot="1" x14ac:dyDescent="0.35">
      <c r="D47" t="s">
        <v>141</v>
      </c>
      <c r="E47" s="1" t="s">
        <v>186</v>
      </c>
      <c r="F47" s="1" t="s">
        <v>191</v>
      </c>
      <c r="G47" s="1"/>
      <c r="H47" s="1"/>
      <c r="I47" s="9">
        <f>2000000/48</f>
        <v>41666.666666666664</v>
      </c>
      <c r="J47" t="s">
        <v>291</v>
      </c>
      <c r="K47" s="9">
        <f>520000/60</f>
        <v>8666.6666666666661</v>
      </c>
      <c r="L47" t="s">
        <v>339</v>
      </c>
      <c r="M47" s="10">
        <f t="shared" si="1"/>
        <v>-33000</v>
      </c>
    </row>
    <row r="48" spans="2:17" ht="17.25" thickBot="1" x14ac:dyDescent="0.35">
      <c r="C48" t="s">
        <v>167</v>
      </c>
      <c r="D48" t="s">
        <v>169</v>
      </c>
      <c r="E48" s="1" t="s">
        <v>183</v>
      </c>
      <c r="F48" s="1" t="s">
        <v>191</v>
      </c>
      <c r="G48" s="1" t="s">
        <v>191</v>
      </c>
      <c r="H48" s="1" t="s">
        <v>209</v>
      </c>
      <c r="I48" s="9">
        <v>15000</v>
      </c>
      <c r="J48" t="s">
        <v>292</v>
      </c>
      <c r="K48" s="9">
        <f>(60000+40000)/60</f>
        <v>1666.6666666666667</v>
      </c>
      <c r="L48" t="s">
        <v>340</v>
      </c>
      <c r="M48" s="10">
        <f t="shared" si="1"/>
        <v>-13333.333333333334</v>
      </c>
    </row>
    <row r="49" spans="2:17" ht="17.25" thickBot="1" x14ac:dyDescent="0.35">
      <c r="C49" t="s">
        <v>144</v>
      </c>
      <c r="D49" t="s">
        <v>146</v>
      </c>
      <c r="E49" s="1" t="s">
        <v>186</v>
      </c>
      <c r="F49" s="1" t="s">
        <v>191</v>
      </c>
      <c r="G49" s="1" t="s">
        <v>191</v>
      </c>
      <c r="H49" s="1" t="s">
        <v>209</v>
      </c>
      <c r="I49" s="9"/>
      <c r="J49" t="s">
        <v>293</v>
      </c>
      <c r="K49" s="9">
        <f>3600000/120</f>
        <v>30000</v>
      </c>
      <c r="L49" t="s">
        <v>341</v>
      </c>
      <c r="M49" s="10">
        <f t="shared" si="1"/>
        <v>30000</v>
      </c>
    </row>
    <row r="50" spans="2:17" ht="29.25" thickBot="1" x14ac:dyDescent="0.35">
      <c r="B50" s="1" t="s">
        <v>78</v>
      </c>
      <c r="C50" t="s">
        <v>79</v>
      </c>
      <c r="D50" t="s">
        <v>80</v>
      </c>
      <c r="E50" s="1" t="s">
        <v>35</v>
      </c>
      <c r="F50" s="1" t="s">
        <v>191</v>
      </c>
      <c r="G50" s="1"/>
      <c r="H50" s="1"/>
      <c r="I50" s="9">
        <f>240000/12</f>
        <v>20000</v>
      </c>
      <c r="J50" t="s">
        <v>387</v>
      </c>
      <c r="K50" s="9">
        <f>(240000+30000)/24</f>
        <v>11250</v>
      </c>
      <c r="L50" t="s">
        <v>342</v>
      </c>
      <c r="M50" s="10">
        <f t="shared" si="1"/>
        <v>-8750</v>
      </c>
      <c r="P50" s="5" t="s">
        <v>238</v>
      </c>
      <c r="Q50" s="5" t="s">
        <v>239</v>
      </c>
    </row>
    <row r="51" spans="2:17" ht="17.25" thickBot="1" x14ac:dyDescent="0.35">
      <c r="D51" t="s">
        <v>122</v>
      </c>
      <c r="E51" s="1" t="s">
        <v>188</v>
      </c>
      <c r="F51" s="1" t="s">
        <v>191</v>
      </c>
      <c r="G51" s="1"/>
      <c r="H51" s="1"/>
      <c r="I51" s="9">
        <f>200000/12</f>
        <v>16666.666666666668</v>
      </c>
      <c r="J51" t="s">
        <v>294</v>
      </c>
      <c r="K51" s="9">
        <f>200000/48+36000/12</f>
        <v>7166.666666666667</v>
      </c>
      <c r="L51" t="s">
        <v>343</v>
      </c>
      <c r="M51" s="10">
        <f t="shared" si="1"/>
        <v>-9500</v>
      </c>
    </row>
    <row r="52" spans="2:17" ht="29.25" thickBot="1" x14ac:dyDescent="0.35">
      <c r="B52" s="1" t="s">
        <v>124</v>
      </c>
      <c r="C52" t="s">
        <v>125</v>
      </c>
      <c r="D52" t="s">
        <v>127</v>
      </c>
      <c r="E52" s="1" t="s">
        <v>188</v>
      </c>
      <c r="F52" s="1" t="s">
        <v>191</v>
      </c>
      <c r="G52" s="1" t="s">
        <v>191</v>
      </c>
      <c r="H52" s="1"/>
      <c r="I52" s="9">
        <v>30000</v>
      </c>
      <c r="J52" t="s">
        <v>295</v>
      </c>
      <c r="K52" s="9">
        <v>2000</v>
      </c>
      <c r="L52" t="s">
        <v>344</v>
      </c>
      <c r="M52" s="10">
        <f t="shared" si="1"/>
        <v>-28000</v>
      </c>
      <c r="P52" s="5" t="s">
        <v>241</v>
      </c>
      <c r="Q52" s="5" t="s">
        <v>242</v>
      </c>
    </row>
    <row r="53" spans="2:17" ht="17.25" thickBot="1" x14ac:dyDescent="0.35">
      <c r="D53" t="s">
        <v>129</v>
      </c>
      <c r="E53" s="1" t="s">
        <v>35</v>
      </c>
      <c r="F53" s="1" t="s">
        <v>191</v>
      </c>
      <c r="G53" s="1"/>
      <c r="H53" s="1"/>
      <c r="I53" s="9">
        <v>3000</v>
      </c>
      <c r="J53" t="s">
        <v>296</v>
      </c>
      <c r="K53" s="9">
        <v>300</v>
      </c>
      <c r="L53" t="s">
        <v>345</v>
      </c>
      <c r="M53" s="10">
        <f t="shared" si="1"/>
        <v>-2700</v>
      </c>
    </row>
    <row r="54" spans="2:17" ht="17.25" thickBot="1" x14ac:dyDescent="0.35">
      <c r="D54" t="s">
        <v>171</v>
      </c>
      <c r="E54" s="1" t="s">
        <v>183</v>
      </c>
      <c r="F54" s="1" t="s">
        <v>191</v>
      </c>
      <c r="G54" s="1"/>
      <c r="H54" s="1"/>
      <c r="I54" s="9">
        <v>5000</v>
      </c>
      <c r="J54" t="s">
        <v>297</v>
      </c>
      <c r="K54" s="9">
        <v>500</v>
      </c>
      <c r="L54" t="s">
        <v>346</v>
      </c>
      <c r="M54" s="10">
        <f t="shared" si="1"/>
        <v>-4500</v>
      </c>
    </row>
    <row r="55" spans="2:17" ht="29.25" thickBot="1" x14ac:dyDescent="0.35">
      <c r="B55" s="1" t="s">
        <v>82</v>
      </c>
      <c r="C55" t="s">
        <v>83</v>
      </c>
      <c r="D55" t="s">
        <v>84</v>
      </c>
      <c r="E55" s="1" t="s">
        <v>35</v>
      </c>
      <c r="F55" s="1" t="s">
        <v>191</v>
      </c>
      <c r="G55" s="1"/>
      <c r="H55" s="1"/>
      <c r="I55" s="9">
        <v>10000</v>
      </c>
      <c r="J55" t="s">
        <v>298</v>
      </c>
      <c r="K55" s="9">
        <v>500</v>
      </c>
      <c r="L55" t="s">
        <v>347</v>
      </c>
      <c r="M55" s="10">
        <f t="shared" si="1"/>
        <v>-9500</v>
      </c>
      <c r="P55" s="5" t="s">
        <v>244</v>
      </c>
      <c r="Q55" s="5" t="s">
        <v>245</v>
      </c>
    </row>
    <row r="56" spans="2:17" ht="17.25" thickBot="1" x14ac:dyDescent="0.35">
      <c r="D56" t="s">
        <v>86</v>
      </c>
      <c r="E56" s="1" t="s">
        <v>185</v>
      </c>
      <c r="F56" s="1" t="s">
        <v>191</v>
      </c>
      <c r="G56" s="1"/>
      <c r="H56" s="1"/>
      <c r="I56" s="9">
        <v>80000</v>
      </c>
      <c r="J56" t="s">
        <v>299</v>
      </c>
      <c r="K56" s="9">
        <v>5000</v>
      </c>
      <c r="L56" t="s">
        <v>348</v>
      </c>
      <c r="M56" s="10">
        <f t="shared" si="1"/>
        <v>-75000</v>
      </c>
    </row>
    <row r="57" spans="2:17" ht="17.25" thickBot="1" x14ac:dyDescent="0.35">
      <c r="D57" t="s">
        <v>88</v>
      </c>
      <c r="E57" s="1" t="s">
        <v>185</v>
      </c>
      <c r="F57" s="1" t="s">
        <v>191</v>
      </c>
      <c r="G57" s="1" t="s">
        <v>191</v>
      </c>
      <c r="H57" s="1"/>
      <c r="I57" s="9">
        <v>120000</v>
      </c>
      <c r="J57" t="s">
        <v>300</v>
      </c>
      <c r="K57" s="9">
        <v>30000</v>
      </c>
      <c r="L57" t="s">
        <v>349</v>
      </c>
      <c r="M57" s="10">
        <f t="shared" si="1"/>
        <v>-90000</v>
      </c>
    </row>
    <row r="58" spans="2:17" ht="29.25" thickBot="1" x14ac:dyDescent="0.35">
      <c r="B58" s="1" t="s">
        <v>92</v>
      </c>
      <c r="C58" t="s">
        <v>93</v>
      </c>
      <c r="D58" t="s">
        <v>95</v>
      </c>
      <c r="E58" s="1" t="s">
        <v>185</v>
      </c>
      <c r="F58" s="1" t="s">
        <v>191</v>
      </c>
      <c r="G58" s="1" t="s">
        <v>191</v>
      </c>
      <c r="H58" s="1"/>
      <c r="I58" s="9">
        <v>120000</v>
      </c>
      <c r="J58" t="s">
        <v>301</v>
      </c>
      <c r="K58" s="9">
        <v>10000</v>
      </c>
      <c r="L58" t="s">
        <v>350</v>
      </c>
      <c r="M58" s="10">
        <f t="shared" si="1"/>
        <v>-110000</v>
      </c>
      <c r="P58" s="5" t="s">
        <v>247</v>
      </c>
      <c r="Q58" s="5" t="s">
        <v>248</v>
      </c>
    </row>
    <row r="59" spans="2:17" ht="17.25" thickBot="1" x14ac:dyDescent="0.35">
      <c r="D59" t="s">
        <v>97</v>
      </c>
      <c r="E59" s="1" t="s">
        <v>185</v>
      </c>
      <c r="F59" s="1" t="s">
        <v>191</v>
      </c>
      <c r="G59" s="1"/>
      <c r="H59" s="1"/>
      <c r="I59" s="9">
        <v>80000</v>
      </c>
      <c r="J59" t="s">
        <v>302</v>
      </c>
      <c r="K59" s="9">
        <v>10000</v>
      </c>
      <c r="L59" t="s">
        <v>351</v>
      </c>
      <c r="M59" s="10">
        <f t="shared" si="1"/>
        <v>-70000</v>
      </c>
    </row>
    <row r="60" spans="2:17" ht="43.5" thickBot="1" x14ac:dyDescent="0.35">
      <c r="B60" s="1" t="s">
        <v>105</v>
      </c>
      <c r="C60" t="s">
        <v>106</v>
      </c>
      <c r="D60" t="s">
        <v>108</v>
      </c>
      <c r="E60" s="1" t="s">
        <v>188</v>
      </c>
      <c r="F60" s="1" t="s">
        <v>191</v>
      </c>
      <c r="G60" s="1"/>
      <c r="H60" s="1"/>
      <c r="I60" s="9">
        <v>15000</v>
      </c>
      <c r="J60" t="s">
        <v>303</v>
      </c>
      <c r="K60" s="9">
        <v>1000</v>
      </c>
      <c r="L60" t="s">
        <v>352</v>
      </c>
      <c r="M60" s="10">
        <f t="shared" si="1"/>
        <v>-14000</v>
      </c>
      <c r="P60" s="5" t="s">
        <v>250</v>
      </c>
      <c r="Q60" s="5" t="s">
        <v>251</v>
      </c>
    </row>
    <row r="61" spans="2:17" ht="17.25" thickBot="1" x14ac:dyDescent="0.35">
      <c r="D61" t="s">
        <v>109</v>
      </c>
      <c r="E61" s="1" t="s">
        <v>183</v>
      </c>
      <c r="F61" s="1" t="s">
        <v>191</v>
      </c>
      <c r="G61" s="1"/>
      <c r="H61" s="1"/>
      <c r="I61" s="9">
        <v>10000</v>
      </c>
      <c r="J61" t="s">
        <v>304</v>
      </c>
      <c r="K61" s="9">
        <v>0</v>
      </c>
      <c r="L61" t="s">
        <v>353</v>
      </c>
      <c r="M61" s="10">
        <f t="shared" si="1"/>
        <v>-10000</v>
      </c>
    </row>
    <row r="62" spans="2:17" ht="29.25" thickBot="1" x14ac:dyDescent="0.35">
      <c r="B62" s="1" t="s">
        <v>131</v>
      </c>
      <c r="C62" t="s">
        <v>133</v>
      </c>
      <c r="D62" t="s">
        <v>134</v>
      </c>
      <c r="E62" s="1" t="s">
        <v>186</v>
      </c>
      <c r="F62" s="1" t="s">
        <v>191</v>
      </c>
      <c r="G62" s="1"/>
      <c r="H62" s="1"/>
      <c r="I62" s="9">
        <v>40000</v>
      </c>
      <c r="J62" t="s">
        <v>305</v>
      </c>
      <c r="K62" s="9">
        <v>0</v>
      </c>
      <c r="L62" t="s">
        <v>354</v>
      </c>
      <c r="M62" s="10">
        <f t="shared" si="1"/>
        <v>-40000</v>
      </c>
      <c r="P62" s="5" t="s">
        <v>253</v>
      </c>
      <c r="Q62" s="5" t="s">
        <v>254</v>
      </c>
    </row>
    <row r="63" spans="2:17" ht="17.25" thickBot="1" x14ac:dyDescent="0.35">
      <c r="D63" t="s">
        <v>135</v>
      </c>
      <c r="E63" s="1" t="s">
        <v>186</v>
      </c>
      <c r="F63" s="1" t="s">
        <v>191</v>
      </c>
      <c r="G63" s="1"/>
      <c r="H63" s="1"/>
      <c r="I63" s="9">
        <v>10000</v>
      </c>
      <c r="J63" t="s">
        <v>306</v>
      </c>
      <c r="K63" s="9">
        <v>0</v>
      </c>
      <c r="L63" t="s">
        <v>355</v>
      </c>
      <c r="M63" s="10">
        <f t="shared" si="1"/>
        <v>-10000</v>
      </c>
    </row>
    <row r="64" spans="2:17" ht="17.25" thickBot="1" x14ac:dyDescent="0.35">
      <c r="D64" t="s">
        <v>137</v>
      </c>
      <c r="E64" s="1" t="s">
        <v>186</v>
      </c>
      <c r="F64" s="1" t="s">
        <v>191</v>
      </c>
      <c r="G64" s="1"/>
      <c r="H64" s="1"/>
      <c r="I64" s="9">
        <v>0</v>
      </c>
      <c r="J64" t="s">
        <v>307</v>
      </c>
      <c r="K64" s="9">
        <v>0</v>
      </c>
      <c r="L64" t="s">
        <v>356</v>
      </c>
      <c r="M64" s="10">
        <f t="shared" si="1"/>
        <v>0</v>
      </c>
    </row>
    <row r="65" spans="1:17" ht="17.25" thickBot="1" x14ac:dyDescent="0.35">
      <c r="D65" t="s">
        <v>139</v>
      </c>
      <c r="E65" s="1" t="s">
        <v>186</v>
      </c>
      <c r="F65" s="1" t="s">
        <v>191</v>
      </c>
      <c r="G65" s="1"/>
      <c r="H65" s="1"/>
      <c r="I65" s="9">
        <v>60000</v>
      </c>
      <c r="J65" t="s">
        <v>308</v>
      </c>
      <c r="K65" s="9">
        <v>0</v>
      </c>
      <c r="L65" t="s">
        <v>357</v>
      </c>
      <c r="M65" s="10">
        <f t="shared" si="1"/>
        <v>-60000</v>
      </c>
    </row>
    <row r="66" spans="1:17" ht="17.25" thickBot="1" x14ac:dyDescent="0.35">
      <c r="D66" t="s">
        <v>173</v>
      </c>
      <c r="E66" s="1" t="s">
        <v>183</v>
      </c>
      <c r="F66" s="1" t="s">
        <v>191</v>
      </c>
      <c r="G66" s="1"/>
      <c r="H66" s="1"/>
      <c r="I66" s="9">
        <v>0</v>
      </c>
      <c r="J66" t="s">
        <v>309</v>
      </c>
      <c r="K66" s="9">
        <v>0</v>
      </c>
      <c r="L66" t="s">
        <v>358</v>
      </c>
      <c r="M66" s="10">
        <f t="shared" si="1"/>
        <v>0</v>
      </c>
    </row>
    <row r="67" spans="1:17" ht="29.25" thickBot="1" x14ac:dyDescent="0.35">
      <c r="A67" s="1" t="s">
        <v>73</v>
      </c>
      <c r="B67" s="1" t="s">
        <v>150</v>
      </c>
      <c r="C67" t="s">
        <v>151</v>
      </c>
      <c r="D67" t="s">
        <v>153</v>
      </c>
      <c r="E67" s="1" t="s">
        <v>73</v>
      </c>
      <c r="F67" s="1" t="s">
        <v>191</v>
      </c>
      <c r="G67" s="1"/>
      <c r="H67" s="1"/>
      <c r="I67" s="9">
        <v>300000</v>
      </c>
      <c r="J67" t="s">
        <v>310</v>
      </c>
      <c r="K67" s="9">
        <v>0</v>
      </c>
      <c r="L67" t="s">
        <v>359</v>
      </c>
      <c r="M67" s="10">
        <f t="shared" si="1"/>
        <v>-300000</v>
      </c>
      <c r="P67" s="5" t="s">
        <v>256</v>
      </c>
      <c r="Q67" s="5" t="s">
        <v>257</v>
      </c>
    </row>
    <row r="68" spans="1:17" ht="29.25" thickBot="1" x14ac:dyDescent="0.35">
      <c r="B68" s="1" t="s">
        <v>179</v>
      </c>
      <c r="C68" t="s">
        <v>197</v>
      </c>
      <c r="D68" t="s">
        <v>181</v>
      </c>
      <c r="E68" s="1" t="s">
        <v>73</v>
      </c>
      <c r="F68" s="1" t="s">
        <v>191</v>
      </c>
      <c r="G68" s="1"/>
      <c r="H68" s="1"/>
      <c r="I68" s="9"/>
      <c r="J68" t="s">
        <v>311</v>
      </c>
      <c r="K68" s="9"/>
      <c r="L68" t="s">
        <v>360</v>
      </c>
      <c r="M68" s="10">
        <f t="shared" si="1"/>
        <v>0</v>
      </c>
      <c r="P68" s="5" t="s">
        <v>259</v>
      </c>
      <c r="Q68" s="5" t="s">
        <v>260</v>
      </c>
    </row>
    <row r="69" spans="1:17" ht="29.25" thickBot="1" x14ac:dyDescent="0.35">
      <c r="B69" s="1" t="s">
        <v>75</v>
      </c>
      <c r="C69" t="s">
        <v>76</v>
      </c>
      <c r="D69" t="s">
        <v>177</v>
      </c>
      <c r="E69" s="1" t="s">
        <v>73</v>
      </c>
      <c r="F69" s="1" t="s">
        <v>191</v>
      </c>
      <c r="G69" s="1"/>
      <c r="H69" s="1"/>
      <c r="I69" s="9"/>
      <c r="J69" t="s">
        <v>312</v>
      </c>
      <c r="K69" s="9">
        <v>0</v>
      </c>
      <c r="L69" t="s">
        <v>388</v>
      </c>
      <c r="M69" s="10">
        <f t="shared" si="1"/>
        <v>0</v>
      </c>
      <c r="P69" s="5" t="s">
        <v>262</v>
      </c>
      <c r="Q69" s="5" t="s">
        <v>263</v>
      </c>
    </row>
    <row r="70" spans="1:17" ht="17.25" thickBot="1" x14ac:dyDescent="0.35">
      <c r="D70" t="s">
        <v>175</v>
      </c>
      <c r="E70" s="1" t="s">
        <v>73</v>
      </c>
      <c r="F70" s="1" t="s">
        <v>191</v>
      </c>
      <c r="G70" s="1"/>
      <c r="H70" s="1"/>
      <c r="I70" s="9">
        <v>150000</v>
      </c>
      <c r="J70" t="s">
        <v>313</v>
      </c>
      <c r="K70" s="9">
        <v>0</v>
      </c>
      <c r="L70" t="s">
        <v>361</v>
      </c>
      <c r="M70" s="10">
        <f t="shared" si="1"/>
        <v>-150000</v>
      </c>
    </row>
    <row r="72" spans="1:17" x14ac:dyDescent="0.3">
      <c r="I72" s="7">
        <f>SUM(I14:I70)</f>
        <v>2448444.444444445</v>
      </c>
      <c r="K72" s="7">
        <f>SUM(K14:K70)</f>
        <v>431338.88888888893</v>
      </c>
      <c r="M72" s="7">
        <f>SUM(M14:M70)</f>
        <v>-2017105.5555555555</v>
      </c>
    </row>
    <row r="73" spans="1:17" x14ac:dyDescent="0.3">
      <c r="H73">
        <v>12</v>
      </c>
      <c r="I73" s="7">
        <f>I72*$H73</f>
        <v>29381333.33333334</v>
      </c>
      <c r="K73" s="7">
        <f>K72*$H73</f>
        <v>5176066.666666667</v>
      </c>
      <c r="M73" s="7">
        <f>M72*$H73</f>
        <v>-24205266.666666664</v>
      </c>
    </row>
    <row r="76" spans="1:17" ht="17.25" thickBot="1" x14ac:dyDescent="0.35"/>
    <row r="77" spans="1:17" ht="60.75" thickBot="1" x14ac:dyDescent="0.35">
      <c r="A77" s="4" t="s">
        <v>0</v>
      </c>
      <c r="B77" s="4" t="s">
        <v>5</v>
      </c>
      <c r="C77" s="4" t="s">
        <v>210</v>
      </c>
      <c r="D77" s="4" t="s">
        <v>211</v>
      </c>
      <c r="E77" s="4" t="s">
        <v>212</v>
      </c>
    </row>
    <row r="78" spans="1:17" ht="114.75" thickBot="1" x14ac:dyDescent="0.35">
      <c r="A78" s="4" t="s">
        <v>2</v>
      </c>
      <c r="B78" s="4" t="s">
        <v>11</v>
      </c>
      <c r="C78" s="5" t="s">
        <v>213</v>
      </c>
      <c r="D78" s="5" t="s">
        <v>214</v>
      </c>
      <c r="E78" s="5" t="s">
        <v>215</v>
      </c>
    </row>
    <row r="79" spans="1:17" ht="143.25" thickBot="1" x14ac:dyDescent="0.35">
      <c r="A79" s="5"/>
      <c r="B79" s="4" t="s">
        <v>16</v>
      </c>
      <c r="C79" s="5" t="s">
        <v>216</v>
      </c>
      <c r="D79" s="5" t="s">
        <v>217</v>
      </c>
      <c r="E79" s="5" t="s">
        <v>218</v>
      </c>
    </row>
    <row r="80" spans="1:17" ht="129" thickBot="1" x14ac:dyDescent="0.35">
      <c r="A80" s="5"/>
      <c r="B80" s="4" t="s">
        <v>20</v>
      </c>
      <c r="C80" s="5" t="s">
        <v>219</v>
      </c>
      <c r="D80" s="5" t="s">
        <v>220</v>
      </c>
      <c r="E80" s="5" t="s">
        <v>221</v>
      </c>
    </row>
    <row r="81" spans="1:5" ht="157.5" thickBot="1" x14ac:dyDescent="0.35">
      <c r="A81" s="5"/>
      <c r="B81" s="4" t="s">
        <v>25</v>
      </c>
      <c r="C81" s="5" t="s">
        <v>222</v>
      </c>
      <c r="D81" s="5" t="s">
        <v>223</v>
      </c>
      <c r="E81" s="5" t="s">
        <v>224</v>
      </c>
    </row>
    <row r="82" spans="1:5" ht="143.25" thickBot="1" x14ac:dyDescent="0.35">
      <c r="A82" s="5"/>
      <c r="B82" s="4" t="s">
        <v>36</v>
      </c>
      <c r="C82" s="5" t="s">
        <v>225</v>
      </c>
      <c r="D82" s="5" t="s">
        <v>226</v>
      </c>
      <c r="E82" s="5" t="s">
        <v>227</v>
      </c>
    </row>
    <row r="83" spans="1:5" ht="171.75" thickBot="1" x14ac:dyDescent="0.35">
      <c r="A83" s="5"/>
      <c r="B83" s="4" t="s">
        <v>111</v>
      </c>
      <c r="C83" s="5" t="s">
        <v>228</v>
      </c>
      <c r="D83" s="5" t="s">
        <v>229</v>
      </c>
      <c r="E83" s="5" t="s">
        <v>230</v>
      </c>
    </row>
    <row r="84" spans="1:5" ht="171.75" thickBot="1" x14ac:dyDescent="0.35">
      <c r="A84" s="5"/>
      <c r="B84" s="4" t="s">
        <v>47</v>
      </c>
      <c r="C84" s="5" t="s">
        <v>231</v>
      </c>
      <c r="D84" s="5" t="s">
        <v>232</v>
      </c>
      <c r="E84" s="5" t="s">
        <v>233</v>
      </c>
    </row>
    <row r="85" spans="1:5" ht="171.75" thickBot="1" x14ac:dyDescent="0.35">
      <c r="A85" s="5"/>
      <c r="B85" s="4" t="s">
        <v>63</v>
      </c>
      <c r="C85" s="5" t="s">
        <v>234</v>
      </c>
      <c r="D85" s="5" t="s">
        <v>235</v>
      </c>
      <c r="E85" s="5" t="s">
        <v>236</v>
      </c>
    </row>
    <row r="86" spans="1:5" ht="143.25" thickBot="1" x14ac:dyDescent="0.35">
      <c r="A86" s="5"/>
      <c r="B86" s="4" t="s">
        <v>77</v>
      </c>
      <c r="C86" s="5" t="s">
        <v>237</v>
      </c>
      <c r="D86" s="5" t="s">
        <v>238</v>
      </c>
      <c r="E86" s="5" t="s">
        <v>239</v>
      </c>
    </row>
    <row r="87" spans="1:5" ht="157.5" thickBot="1" x14ac:dyDescent="0.35">
      <c r="A87" s="5"/>
      <c r="B87" s="4" t="s">
        <v>123</v>
      </c>
      <c r="C87" s="5" t="s">
        <v>240</v>
      </c>
      <c r="D87" s="5" t="s">
        <v>241</v>
      </c>
      <c r="E87" s="5" t="s">
        <v>242</v>
      </c>
    </row>
    <row r="88" spans="1:5" ht="171.75" thickBot="1" x14ac:dyDescent="0.35">
      <c r="A88" s="5"/>
      <c r="B88" s="4" t="s">
        <v>81</v>
      </c>
      <c r="C88" s="5" t="s">
        <v>243</v>
      </c>
      <c r="D88" s="5" t="s">
        <v>244</v>
      </c>
      <c r="E88" s="5" t="s">
        <v>245</v>
      </c>
    </row>
    <row r="89" spans="1:5" ht="186" thickBot="1" x14ac:dyDescent="0.35">
      <c r="A89" s="5"/>
      <c r="B89" s="4" t="s">
        <v>91</v>
      </c>
      <c r="C89" s="5" t="s">
        <v>246</v>
      </c>
      <c r="D89" s="5" t="s">
        <v>247</v>
      </c>
      <c r="E89" s="5" t="s">
        <v>248</v>
      </c>
    </row>
    <row r="90" spans="1:5" ht="228.75" thickBot="1" x14ac:dyDescent="0.35">
      <c r="A90" s="5"/>
      <c r="B90" s="4" t="s">
        <v>104</v>
      </c>
      <c r="C90" s="5" t="s">
        <v>249</v>
      </c>
      <c r="D90" s="5" t="s">
        <v>250</v>
      </c>
      <c r="E90" s="5" t="s">
        <v>251</v>
      </c>
    </row>
    <row r="91" spans="1:5" ht="157.5" thickBot="1" x14ac:dyDescent="0.35">
      <c r="A91" s="5"/>
      <c r="B91" s="4" t="s">
        <v>130</v>
      </c>
      <c r="C91" s="5" t="s">
        <v>252</v>
      </c>
      <c r="D91" s="5" t="s">
        <v>253</v>
      </c>
      <c r="E91" s="5" t="s">
        <v>254</v>
      </c>
    </row>
    <row r="92" spans="1:5" ht="143.25" thickBot="1" x14ac:dyDescent="0.35">
      <c r="A92" s="4" t="s">
        <v>72</v>
      </c>
      <c r="B92" s="4" t="s">
        <v>149</v>
      </c>
      <c r="C92" s="5" t="s">
        <v>255</v>
      </c>
      <c r="D92" s="5" t="s">
        <v>256</v>
      </c>
      <c r="E92" s="5" t="s">
        <v>257</v>
      </c>
    </row>
    <row r="93" spans="1:5" ht="143.25" thickBot="1" x14ac:dyDescent="0.35">
      <c r="A93" s="5"/>
      <c r="B93" s="4" t="s">
        <v>178</v>
      </c>
      <c r="C93" s="5" t="s">
        <v>258</v>
      </c>
      <c r="D93" s="5" t="s">
        <v>259</v>
      </c>
      <c r="E93" s="5" t="s">
        <v>260</v>
      </c>
    </row>
    <row r="94" spans="1:5" ht="186" thickBot="1" x14ac:dyDescent="0.35">
      <c r="A94" s="5"/>
      <c r="B94" s="4" t="s">
        <v>74</v>
      </c>
      <c r="C94" s="5" t="s">
        <v>261</v>
      </c>
      <c r="D94" s="5" t="s">
        <v>262</v>
      </c>
      <c r="E94" s="5" t="s">
        <v>263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8B13-22B7-4971-9866-D045B02852DC}">
  <dimension ref="A1:M59"/>
  <sheetViews>
    <sheetView topLeftCell="A21" zoomScale="80" zoomScaleNormal="80" workbookViewId="0">
      <selection activeCell="I2" sqref="I2:I59"/>
    </sheetView>
  </sheetViews>
  <sheetFormatPr defaultRowHeight="16.5" x14ac:dyDescent="0.3"/>
  <cols>
    <col min="1" max="1" width="8" bestFit="1" customWidth="1"/>
    <col min="2" max="2" width="13.125" bestFit="1" customWidth="1"/>
    <col min="3" max="3" width="26.625" bestFit="1" customWidth="1"/>
    <col min="4" max="4" width="28.25" bestFit="1" customWidth="1"/>
    <col min="5" max="5" width="4.5" bestFit="1" customWidth="1"/>
    <col min="6" max="6" width="14.375" bestFit="1" customWidth="1"/>
    <col min="7" max="7" width="29.375" bestFit="1" customWidth="1"/>
    <col min="8" max="8" width="15.375" bestFit="1" customWidth="1"/>
    <col min="9" max="9" width="32.75" bestFit="1" customWidth="1"/>
    <col min="10" max="10" width="13.125" bestFit="1" customWidth="1"/>
    <col min="11" max="11" width="60.375" bestFit="1" customWidth="1"/>
    <col min="12" max="13" width="13.875" bestFit="1" customWidth="1"/>
  </cols>
  <sheetData>
    <row r="1" spans="1:13" x14ac:dyDescent="0.3">
      <c r="A1" s="16" t="s">
        <v>0</v>
      </c>
      <c r="B1" s="16" t="s">
        <v>5</v>
      </c>
      <c r="C1" s="16" t="s">
        <v>9</v>
      </c>
      <c r="D1" s="16" t="s">
        <v>7</v>
      </c>
      <c r="E1" s="16" t="s">
        <v>30</v>
      </c>
      <c r="F1" s="16" t="s">
        <v>431</v>
      </c>
      <c r="G1" s="16" t="s">
        <v>432</v>
      </c>
      <c r="H1" s="16" t="s">
        <v>428</v>
      </c>
      <c r="I1" s="16" t="s">
        <v>362</v>
      </c>
      <c r="J1" s="16" t="s">
        <v>429</v>
      </c>
      <c r="K1" s="16" t="s">
        <v>430</v>
      </c>
      <c r="L1" s="17" t="s">
        <v>582</v>
      </c>
      <c r="M1" s="17" t="s">
        <v>583</v>
      </c>
    </row>
    <row r="2" spans="1:13" x14ac:dyDescent="0.3">
      <c r="A2" s="18" t="s">
        <v>2</v>
      </c>
      <c r="B2" s="18" t="s">
        <v>11</v>
      </c>
      <c r="C2" s="18" t="s">
        <v>390</v>
      </c>
      <c r="D2" s="18" t="s">
        <v>14</v>
      </c>
      <c r="E2" s="18" t="s">
        <v>34</v>
      </c>
      <c r="F2" s="19">
        <v>1500</v>
      </c>
      <c r="G2" s="18" t="s">
        <v>314</v>
      </c>
      <c r="H2" s="19">
        <v>15000</v>
      </c>
      <c r="I2" s="18" t="s">
        <v>266</v>
      </c>
      <c r="J2" s="19">
        <v>15000</v>
      </c>
      <c r="K2" s="18" t="s">
        <v>433</v>
      </c>
      <c r="L2" s="28">
        <f>F2-H2</f>
        <v>-13500</v>
      </c>
      <c r="M2" s="28">
        <f>F2-J2</f>
        <v>-13500</v>
      </c>
    </row>
    <row r="3" spans="1:13" x14ac:dyDescent="0.3">
      <c r="A3" s="20"/>
      <c r="B3" s="20" t="s">
        <v>16</v>
      </c>
      <c r="C3" s="20" t="s">
        <v>18</v>
      </c>
      <c r="D3" s="20" t="s">
        <v>365</v>
      </c>
      <c r="E3" s="20" t="s">
        <v>32</v>
      </c>
      <c r="F3" s="21">
        <v>0</v>
      </c>
      <c r="G3" s="20" t="s">
        <v>392</v>
      </c>
      <c r="H3" s="22">
        <v>150000</v>
      </c>
      <c r="I3" s="20" t="s">
        <v>391</v>
      </c>
      <c r="J3" s="22">
        <v>150000</v>
      </c>
      <c r="K3" s="20" t="s">
        <v>434</v>
      </c>
      <c r="L3" s="23">
        <f t="shared" ref="L3:L58" si="0">F3-H3</f>
        <v>-150000</v>
      </c>
      <c r="M3" s="23">
        <f t="shared" ref="M3:M58" si="1">F3-J3</f>
        <v>-150000</v>
      </c>
    </row>
    <row r="4" spans="1:13" x14ac:dyDescent="0.3">
      <c r="A4" s="20"/>
      <c r="B4" s="20" t="s">
        <v>20</v>
      </c>
      <c r="C4" s="20" t="s">
        <v>393</v>
      </c>
      <c r="D4" s="20" t="s">
        <v>23</v>
      </c>
      <c r="E4" s="20" t="s">
        <v>32</v>
      </c>
      <c r="F4" s="22">
        <v>30000</v>
      </c>
      <c r="G4" s="20" t="s">
        <v>394</v>
      </c>
      <c r="H4" s="22">
        <v>150000</v>
      </c>
      <c r="I4" s="20" t="s">
        <v>267</v>
      </c>
      <c r="J4" s="22">
        <v>150000</v>
      </c>
      <c r="K4" s="20" t="s">
        <v>435</v>
      </c>
      <c r="L4" s="23">
        <f t="shared" si="0"/>
        <v>-120000</v>
      </c>
      <c r="M4" s="23">
        <f t="shared" si="1"/>
        <v>-120000</v>
      </c>
    </row>
    <row r="5" spans="1:13" x14ac:dyDescent="0.3">
      <c r="A5" s="20"/>
      <c r="B5" s="20" t="s">
        <v>25</v>
      </c>
      <c r="C5" s="20" t="s">
        <v>395</v>
      </c>
      <c r="D5" s="20" t="s">
        <v>28</v>
      </c>
      <c r="E5" s="20" t="s">
        <v>32</v>
      </c>
      <c r="F5" s="22">
        <v>5000</v>
      </c>
      <c r="G5" s="20" t="s">
        <v>437</v>
      </c>
      <c r="H5" s="22">
        <v>60000</v>
      </c>
      <c r="I5" s="20" t="s">
        <v>396</v>
      </c>
      <c r="J5" s="22">
        <v>30000</v>
      </c>
      <c r="K5" s="20" t="s">
        <v>436</v>
      </c>
      <c r="L5" s="23">
        <f t="shared" si="0"/>
        <v>-55000</v>
      </c>
      <c r="M5" s="23">
        <f t="shared" si="1"/>
        <v>-25000</v>
      </c>
    </row>
    <row r="6" spans="1:13" x14ac:dyDescent="0.3">
      <c r="A6" s="20"/>
      <c r="B6" s="20"/>
      <c r="C6" s="20"/>
      <c r="D6" s="20" t="s">
        <v>98</v>
      </c>
      <c r="E6" s="20" t="s">
        <v>182</v>
      </c>
      <c r="F6" s="22">
        <v>20000</v>
      </c>
      <c r="G6" s="20" t="s">
        <v>317</v>
      </c>
      <c r="H6" s="22">
        <v>100000</v>
      </c>
      <c r="I6" s="20" t="s">
        <v>397</v>
      </c>
      <c r="J6" s="22">
        <v>60000</v>
      </c>
      <c r="K6" s="20" t="s">
        <v>438</v>
      </c>
      <c r="L6" s="23">
        <f t="shared" si="0"/>
        <v>-80000</v>
      </c>
      <c r="M6" s="23">
        <f t="shared" si="1"/>
        <v>-40000</v>
      </c>
    </row>
    <row r="7" spans="1:13" x14ac:dyDescent="0.3">
      <c r="A7" s="20"/>
      <c r="B7" s="20"/>
      <c r="C7" s="20"/>
      <c r="D7" s="20" t="s">
        <v>192</v>
      </c>
      <c r="E7" s="20" t="s">
        <v>34</v>
      </c>
      <c r="F7" s="21">
        <v>0</v>
      </c>
      <c r="G7" s="20" t="s">
        <v>318</v>
      </c>
      <c r="H7" s="22">
        <v>20000</v>
      </c>
      <c r="I7" s="20" t="s">
        <v>269</v>
      </c>
      <c r="J7" s="22">
        <v>10000</v>
      </c>
      <c r="K7" s="20" t="s">
        <v>439</v>
      </c>
      <c r="L7" s="23">
        <f t="shared" si="0"/>
        <v>-20000</v>
      </c>
      <c r="M7" s="23">
        <f t="shared" si="1"/>
        <v>-10000</v>
      </c>
    </row>
    <row r="8" spans="1:13" x14ac:dyDescent="0.3">
      <c r="A8" s="20"/>
      <c r="B8" s="20" t="s">
        <v>36</v>
      </c>
      <c r="C8" s="20" t="s">
        <v>119</v>
      </c>
      <c r="D8" s="20" t="s">
        <v>398</v>
      </c>
      <c r="E8" s="20" t="s">
        <v>40</v>
      </c>
      <c r="F8" s="22">
        <v>10000</v>
      </c>
      <c r="G8" s="20" t="s">
        <v>442</v>
      </c>
      <c r="H8" s="21">
        <v>0</v>
      </c>
      <c r="I8" s="20" t="s">
        <v>440</v>
      </c>
      <c r="J8" s="22">
        <v>40000</v>
      </c>
      <c r="K8" s="20" t="s">
        <v>441</v>
      </c>
      <c r="L8" s="23">
        <f t="shared" si="0"/>
        <v>10000</v>
      </c>
      <c r="M8" s="23">
        <f t="shared" si="1"/>
        <v>-30000</v>
      </c>
    </row>
    <row r="9" spans="1:13" x14ac:dyDescent="0.3">
      <c r="A9" s="20"/>
      <c r="B9" s="20"/>
      <c r="C9" s="20"/>
      <c r="D9" s="20" t="s">
        <v>42</v>
      </c>
      <c r="E9" s="20" t="s">
        <v>184</v>
      </c>
      <c r="F9" s="22">
        <v>21000</v>
      </c>
      <c r="G9" s="20" t="s">
        <v>445</v>
      </c>
      <c r="H9" s="22">
        <v>150000</v>
      </c>
      <c r="I9" s="20" t="s">
        <v>443</v>
      </c>
      <c r="J9" s="22">
        <v>60000</v>
      </c>
      <c r="K9" s="20" t="s">
        <v>444</v>
      </c>
      <c r="L9" s="23">
        <f t="shared" si="0"/>
        <v>-129000</v>
      </c>
      <c r="M9" s="23">
        <f t="shared" si="1"/>
        <v>-39000</v>
      </c>
    </row>
    <row r="10" spans="1:13" x14ac:dyDescent="0.3">
      <c r="A10" s="20"/>
      <c r="B10" s="20"/>
      <c r="C10" s="20"/>
      <c r="D10" s="20" t="s">
        <v>44</v>
      </c>
      <c r="E10" s="20" t="s">
        <v>184</v>
      </c>
      <c r="F10" s="22">
        <v>1500</v>
      </c>
      <c r="G10" s="20" t="s">
        <v>372</v>
      </c>
      <c r="H10" s="22">
        <v>30000</v>
      </c>
      <c r="I10" s="20" t="s">
        <v>399</v>
      </c>
      <c r="J10" s="22">
        <v>15000</v>
      </c>
      <c r="K10" s="20" t="s">
        <v>446</v>
      </c>
      <c r="L10" s="23">
        <f t="shared" si="0"/>
        <v>-28500</v>
      </c>
      <c r="M10" s="23">
        <f t="shared" si="1"/>
        <v>-13500</v>
      </c>
    </row>
    <row r="11" spans="1:13" x14ac:dyDescent="0.3">
      <c r="A11" s="20"/>
      <c r="B11" s="20"/>
      <c r="C11" s="20"/>
      <c r="D11" s="20" t="s">
        <v>61</v>
      </c>
      <c r="E11" s="20" t="s">
        <v>32</v>
      </c>
      <c r="F11" s="21">
        <v>200</v>
      </c>
      <c r="G11" s="20" t="s">
        <v>448</v>
      </c>
      <c r="H11" s="22">
        <v>1000</v>
      </c>
      <c r="I11" s="20" t="s">
        <v>271</v>
      </c>
      <c r="J11" s="21">
        <v>0</v>
      </c>
      <c r="K11" s="20" t="s">
        <v>447</v>
      </c>
      <c r="L11" s="23">
        <f t="shared" si="0"/>
        <v>-800</v>
      </c>
      <c r="M11" s="23">
        <f t="shared" si="1"/>
        <v>200</v>
      </c>
    </row>
    <row r="12" spans="1:13" x14ac:dyDescent="0.3">
      <c r="A12" s="20"/>
      <c r="B12" s="20"/>
      <c r="C12" s="20"/>
      <c r="D12" s="20" t="s">
        <v>400</v>
      </c>
      <c r="E12" s="20" t="s">
        <v>40</v>
      </c>
      <c r="F12" s="22">
        <v>5000</v>
      </c>
      <c r="G12" s="20" t="s">
        <v>402</v>
      </c>
      <c r="H12" s="22">
        <v>25000</v>
      </c>
      <c r="I12" s="20" t="s">
        <v>401</v>
      </c>
      <c r="J12" s="22">
        <v>15000</v>
      </c>
      <c r="K12" s="20" t="s">
        <v>449</v>
      </c>
      <c r="L12" s="23">
        <f t="shared" si="0"/>
        <v>-20000</v>
      </c>
      <c r="M12" s="23">
        <f t="shared" si="1"/>
        <v>-10000</v>
      </c>
    </row>
    <row r="13" spans="1:13" x14ac:dyDescent="0.3">
      <c r="A13" s="20"/>
      <c r="B13" s="20"/>
      <c r="C13" s="20"/>
      <c r="D13" s="20" t="s">
        <v>147</v>
      </c>
      <c r="E13" s="20" t="s">
        <v>186</v>
      </c>
      <c r="F13" s="22">
        <v>5000</v>
      </c>
      <c r="G13" s="20" t="s">
        <v>379</v>
      </c>
      <c r="H13" s="22">
        <v>50000</v>
      </c>
      <c r="I13" s="20" t="s">
        <v>272</v>
      </c>
      <c r="J13" s="22">
        <v>20000</v>
      </c>
      <c r="K13" s="20" t="s">
        <v>450</v>
      </c>
      <c r="L13" s="23">
        <f t="shared" si="0"/>
        <v>-45000</v>
      </c>
      <c r="M13" s="23">
        <f t="shared" si="1"/>
        <v>-15000</v>
      </c>
    </row>
    <row r="14" spans="1:13" x14ac:dyDescent="0.3">
      <c r="A14" s="20"/>
      <c r="B14" s="20"/>
      <c r="C14" s="20" t="s">
        <v>155</v>
      </c>
      <c r="D14" s="20" t="s">
        <v>264</v>
      </c>
      <c r="E14" s="20" t="s">
        <v>40</v>
      </c>
      <c r="F14" s="22">
        <v>3000</v>
      </c>
      <c r="G14" s="20" t="s">
        <v>320</v>
      </c>
      <c r="H14" s="22">
        <v>30000</v>
      </c>
      <c r="I14" s="20" t="s">
        <v>273</v>
      </c>
      <c r="J14" s="22">
        <v>15000</v>
      </c>
      <c r="K14" s="20" t="s">
        <v>451</v>
      </c>
      <c r="L14" s="23">
        <f t="shared" si="0"/>
        <v>-27000</v>
      </c>
      <c r="M14" s="23">
        <f t="shared" si="1"/>
        <v>-12000</v>
      </c>
    </row>
    <row r="15" spans="1:13" x14ac:dyDescent="0.3">
      <c r="A15" s="20"/>
      <c r="B15" s="20"/>
      <c r="C15" s="20"/>
      <c r="D15" s="20" t="s">
        <v>157</v>
      </c>
      <c r="E15" s="20" t="s">
        <v>32</v>
      </c>
      <c r="F15" s="22">
        <v>3000</v>
      </c>
      <c r="G15" s="20" t="s">
        <v>453</v>
      </c>
      <c r="H15" s="22">
        <v>15000</v>
      </c>
      <c r="I15" s="20" t="s">
        <v>274</v>
      </c>
      <c r="J15" s="22">
        <v>3000</v>
      </c>
      <c r="K15" s="20" t="s">
        <v>452</v>
      </c>
      <c r="L15" s="23">
        <f t="shared" si="0"/>
        <v>-12000</v>
      </c>
      <c r="M15" s="23">
        <f t="shared" si="1"/>
        <v>0</v>
      </c>
    </row>
    <row r="16" spans="1:13" x14ac:dyDescent="0.3">
      <c r="A16" s="20"/>
      <c r="B16" s="20"/>
      <c r="C16" s="20"/>
      <c r="D16" s="20" t="s">
        <v>159</v>
      </c>
      <c r="E16" s="20" t="s">
        <v>32</v>
      </c>
      <c r="F16" s="22">
        <v>3000</v>
      </c>
      <c r="G16" s="20" t="s">
        <v>456</v>
      </c>
      <c r="H16" s="22">
        <v>20000</v>
      </c>
      <c r="I16" s="20" t="s">
        <v>454</v>
      </c>
      <c r="J16" s="22">
        <v>3000</v>
      </c>
      <c r="K16" s="20" t="s">
        <v>455</v>
      </c>
      <c r="L16" s="23">
        <f t="shared" si="0"/>
        <v>-17000</v>
      </c>
      <c r="M16" s="23">
        <f t="shared" si="1"/>
        <v>0</v>
      </c>
    </row>
    <row r="17" spans="1:13" x14ac:dyDescent="0.3">
      <c r="A17" s="20"/>
      <c r="B17" s="20"/>
      <c r="C17" s="20"/>
      <c r="D17" s="20" t="s">
        <v>161</v>
      </c>
      <c r="E17" s="20" t="s">
        <v>32</v>
      </c>
      <c r="F17" s="22">
        <v>1000</v>
      </c>
      <c r="G17" s="20" t="s">
        <v>459</v>
      </c>
      <c r="H17" s="22">
        <v>8333</v>
      </c>
      <c r="I17" s="20" t="s">
        <v>457</v>
      </c>
      <c r="J17" s="22">
        <v>1000</v>
      </c>
      <c r="K17" s="20" t="s">
        <v>458</v>
      </c>
      <c r="L17" s="23">
        <f t="shared" si="0"/>
        <v>-7333</v>
      </c>
      <c r="M17" s="23">
        <f t="shared" si="1"/>
        <v>0</v>
      </c>
    </row>
    <row r="18" spans="1:13" x14ac:dyDescent="0.3">
      <c r="A18" s="20"/>
      <c r="B18" s="20" t="s">
        <v>111</v>
      </c>
      <c r="C18" s="20" t="s">
        <v>403</v>
      </c>
      <c r="D18" s="20" t="s">
        <v>114</v>
      </c>
      <c r="E18" s="20" t="s">
        <v>186</v>
      </c>
      <c r="F18" s="22">
        <v>8333</v>
      </c>
      <c r="G18" s="20" t="s">
        <v>462</v>
      </c>
      <c r="H18" s="22">
        <v>62500</v>
      </c>
      <c r="I18" s="20" t="s">
        <v>460</v>
      </c>
      <c r="J18" s="22">
        <v>30000</v>
      </c>
      <c r="K18" s="20" t="s">
        <v>461</v>
      </c>
      <c r="L18" s="23">
        <f t="shared" si="0"/>
        <v>-54167</v>
      </c>
      <c r="M18" s="23">
        <f t="shared" si="1"/>
        <v>-21667</v>
      </c>
    </row>
    <row r="19" spans="1:13" x14ac:dyDescent="0.3">
      <c r="A19" s="20"/>
      <c r="B19" s="20"/>
      <c r="C19" s="20"/>
      <c r="D19" s="20" t="s">
        <v>116</v>
      </c>
      <c r="E19" s="20" t="s">
        <v>34</v>
      </c>
      <c r="F19" s="21">
        <v>200</v>
      </c>
      <c r="G19" s="20" t="s">
        <v>465</v>
      </c>
      <c r="H19" s="22">
        <v>10000</v>
      </c>
      <c r="I19" s="20" t="s">
        <v>463</v>
      </c>
      <c r="J19" s="22">
        <v>5000</v>
      </c>
      <c r="K19" s="20" t="s">
        <v>464</v>
      </c>
      <c r="L19" s="23">
        <f t="shared" si="0"/>
        <v>-9800</v>
      </c>
      <c r="M19" s="23">
        <f t="shared" si="1"/>
        <v>-4800</v>
      </c>
    </row>
    <row r="20" spans="1:13" x14ac:dyDescent="0.3">
      <c r="A20" s="20"/>
      <c r="B20" s="20"/>
      <c r="C20" s="20"/>
      <c r="D20" s="20" t="s">
        <v>404</v>
      </c>
      <c r="E20" s="20" t="s">
        <v>34</v>
      </c>
      <c r="F20" s="22">
        <v>2000</v>
      </c>
      <c r="G20" s="20" t="s">
        <v>468</v>
      </c>
      <c r="H20" s="22">
        <v>15000</v>
      </c>
      <c r="I20" s="20" t="s">
        <v>466</v>
      </c>
      <c r="J20" s="22">
        <v>2000</v>
      </c>
      <c r="K20" s="20" t="s">
        <v>467</v>
      </c>
      <c r="L20" s="23">
        <f t="shared" si="0"/>
        <v>-13000</v>
      </c>
      <c r="M20" s="23">
        <f t="shared" si="1"/>
        <v>0</v>
      </c>
    </row>
    <row r="21" spans="1:13" x14ac:dyDescent="0.3">
      <c r="A21" s="20"/>
      <c r="B21" s="20"/>
      <c r="C21" s="20" t="s">
        <v>100</v>
      </c>
      <c r="D21" s="20" t="s">
        <v>102</v>
      </c>
      <c r="E21" s="20" t="s">
        <v>187</v>
      </c>
      <c r="F21" s="22">
        <v>1000</v>
      </c>
      <c r="G21" s="20" t="s">
        <v>471</v>
      </c>
      <c r="H21" s="21">
        <v>0</v>
      </c>
      <c r="I21" s="20" t="s">
        <v>469</v>
      </c>
      <c r="J21" s="21">
        <v>0</v>
      </c>
      <c r="K21" s="20" t="s">
        <v>470</v>
      </c>
      <c r="L21" s="23">
        <f t="shared" si="0"/>
        <v>1000</v>
      </c>
      <c r="M21" s="23">
        <f t="shared" si="1"/>
        <v>1000</v>
      </c>
    </row>
    <row r="22" spans="1:13" x14ac:dyDescent="0.3">
      <c r="A22" s="20"/>
      <c r="B22" s="20" t="s">
        <v>47</v>
      </c>
      <c r="C22" s="20" t="s">
        <v>405</v>
      </c>
      <c r="D22" s="20" t="s">
        <v>49</v>
      </c>
      <c r="E22" s="20" t="s">
        <v>40</v>
      </c>
      <c r="F22" s="22">
        <v>58333</v>
      </c>
      <c r="G22" s="20" t="s">
        <v>473</v>
      </c>
      <c r="H22" s="21">
        <v>0</v>
      </c>
      <c r="I22" s="20" t="s">
        <v>472</v>
      </c>
      <c r="J22" s="22">
        <v>20000</v>
      </c>
      <c r="K22" s="24" t="s">
        <v>551</v>
      </c>
      <c r="L22" s="23">
        <f t="shared" si="0"/>
        <v>58333</v>
      </c>
      <c r="M22" s="23">
        <f t="shared" si="1"/>
        <v>38333</v>
      </c>
    </row>
    <row r="23" spans="1:13" x14ac:dyDescent="0.3">
      <c r="A23" s="20"/>
      <c r="B23" s="20"/>
      <c r="C23" s="20"/>
      <c r="D23" s="20" t="s">
        <v>51</v>
      </c>
      <c r="E23" s="20" t="s">
        <v>40</v>
      </c>
      <c r="F23" s="22">
        <v>29167</v>
      </c>
      <c r="G23" s="20" t="s">
        <v>474</v>
      </c>
      <c r="H23" s="21">
        <v>0</v>
      </c>
      <c r="I23" s="20" t="s">
        <v>472</v>
      </c>
      <c r="J23" s="22">
        <v>10000</v>
      </c>
      <c r="K23" s="24" t="s">
        <v>550</v>
      </c>
      <c r="L23" s="23">
        <f t="shared" si="0"/>
        <v>29167</v>
      </c>
      <c r="M23" s="23">
        <f t="shared" si="1"/>
        <v>19167</v>
      </c>
    </row>
    <row r="24" spans="1:13" x14ac:dyDescent="0.3">
      <c r="A24" s="20"/>
      <c r="B24" s="20"/>
      <c r="C24" s="20"/>
      <c r="D24" s="20" t="s">
        <v>53</v>
      </c>
      <c r="E24" s="20" t="s">
        <v>186</v>
      </c>
      <c r="F24" s="22">
        <v>7222</v>
      </c>
      <c r="G24" s="20" t="s">
        <v>476</v>
      </c>
      <c r="H24" s="21">
        <v>0</v>
      </c>
      <c r="I24" s="20" t="s">
        <v>472</v>
      </c>
      <c r="J24" s="22">
        <v>5000</v>
      </c>
      <c r="K24" s="20" t="s">
        <v>475</v>
      </c>
      <c r="L24" s="23">
        <f t="shared" si="0"/>
        <v>7222</v>
      </c>
      <c r="M24" s="23">
        <f t="shared" si="1"/>
        <v>2222</v>
      </c>
    </row>
    <row r="25" spans="1:13" x14ac:dyDescent="0.3">
      <c r="A25" s="20"/>
      <c r="B25" s="20"/>
      <c r="C25" s="20"/>
      <c r="D25" s="20" t="s">
        <v>55</v>
      </c>
      <c r="E25" s="20" t="s">
        <v>40</v>
      </c>
      <c r="F25" s="22">
        <v>15000</v>
      </c>
      <c r="G25" s="20" t="s">
        <v>478</v>
      </c>
      <c r="H25" s="22">
        <v>100000</v>
      </c>
      <c r="I25" s="20" t="s">
        <v>281</v>
      </c>
      <c r="J25" s="22">
        <v>40000</v>
      </c>
      <c r="K25" s="20" t="s">
        <v>477</v>
      </c>
      <c r="L25" s="23">
        <f t="shared" si="0"/>
        <v>-85000</v>
      </c>
      <c r="M25" s="23">
        <f t="shared" si="1"/>
        <v>-25000</v>
      </c>
    </row>
    <row r="26" spans="1:13" x14ac:dyDescent="0.3">
      <c r="A26" s="20"/>
      <c r="B26" s="20"/>
      <c r="C26" s="20"/>
      <c r="D26" s="20" t="s">
        <v>57</v>
      </c>
      <c r="E26" s="20" t="s">
        <v>40</v>
      </c>
      <c r="F26" s="21">
        <v>833</v>
      </c>
      <c r="G26" s="20" t="s">
        <v>480</v>
      </c>
      <c r="H26" s="22">
        <v>6944</v>
      </c>
      <c r="I26" s="20" t="s">
        <v>282</v>
      </c>
      <c r="J26" s="22">
        <v>4000</v>
      </c>
      <c r="K26" s="20" t="s">
        <v>479</v>
      </c>
      <c r="L26" s="23">
        <f t="shared" si="0"/>
        <v>-6111</v>
      </c>
      <c r="M26" s="23">
        <f t="shared" si="1"/>
        <v>-3167</v>
      </c>
    </row>
    <row r="27" spans="1:13" x14ac:dyDescent="0.3">
      <c r="A27" s="20"/>
      <c r="B27" s="20"/>
      <c r="C27" s="20"/>
      <c r="D27" s="20" t="s">
        <v>59</v>
      </c>
      <c r="E27" s="20" t="s">
        <v>40</v>
      </c>
      <c r="F27" s="22">
        <v>45000</v>
      </c>
      <c r="G27" s="20" t="s">
        <v>482</v>
      </c>
      <c r="H27" s="22">
        <v>100000</v>
      </c>
      <c r="I27" s="20" t="s">
        <v>283</v>
      </c>
      <c r="J27" s="22">
        <v>60000</v>
      </c>
      <c r="K27" s="20" t="s">
        <v>481</v>
      </c>
      <c r="L27" s="23">
        <f t="shared" si="0"/>
        <v>-55000</v>
      </c>
      <c r="M27" s="23">
        <f t="shared" si="1"/>
        <v>-15000</v>
      </c>
    </row>
    <row r="28" spans="1:13" x14ac:dyDescent="0.3">
      <c r="A28" s="20"/>
      <c r="B28" s="20" t="s">
        <v>63</v>
      </c>
      <c r="C28" s="20" t="s">
        <v>406</v>
      </c>
      <c r="D28" s="20" t="s">
        <v>65</v>
      </c>
      <c r="E28" s="20" t="s">
        <v>32</v>
      </c>
      <c r="F28" s="22">
        <v>2167</v>
      </c>
      <c r="G28" s="20" t="s">
        <v>332</v>
      </c>
      <c r="H28" s="22">
        <v>40000</v>
      </c>
      <c r="I28" s="20" t="s">
        <v>483</v>
      </c>
      <c r="J28" s="22">
        <v>10000</v>
      </c>
      <c r="K28" s="20" t="s">
        <v>484</v>
      </c>
      <c r="L28" s="23">
        <f t="shared" si="0"/>
        <v>-37833</v>
      </c>
      <c r="M28" s="23">
        <f t="shared" si="1"/>
        <v>-7833</v>
      </c>
    </row>
    <row r="29" spans="1:13" x14ac:dyDescent="0.3">
      <c r="A29" s="20"/>
      <c r="B29" s="20"/>
      <c r="C29" s="20"/>
      <c r="D29" s="20" t="s">
        <v>67</v>
      </c>
      <c r="E29" s="20" t="s">
        <v>32</v>
      </c>
      <c r="F29" s="22">
        <v>11625</v>
      </c>
      <c r="G29" s="20" t="s">
        <v>333</v>
      </c>
      <c r="H29" s="22">
        <v>45000</v>
      </c>
      <c r="I29" s="20" t="s">
        <v>485</v>
      </c>
      <c r="J29" s="22">
        <v>20000</v>
      </c>
      <c r="K29" s="20" t="s">
        <v>486</v>
      </c>
      <c r="L29" s="23">
        <f t="shared" si="0"/>
        <v>-33375</v>
      </c>
      <c r="M29" s="23">
        <f t="shared" si="1"/>
        <v>-8375</v>
      </c>
    </row>
    <row r="30" spans="1:13" x14ac:dyDescent="0.3">
      <c r="A30" s="20"/>
      <c r="B30" s="20"/>
      <c r="C30" s="20"/>
      <c r="D30" s="20" t="s">
        <v>69</v>
      </c>
      <c r="E30" s="20" t="s">
        <v>32</v>
      </c>
      <c r="F30" s="21">
        <v>625</v>
      </c>
      <c r="G30" s="20" t="s">
        <v>489</v>
      </c>
      <c r="H30" s="22">
        <v>20000</v>
      </c>
      <c r="I30" s="20" t="s">
        <v>487</v>
      </c>
      <c r="J30" s="22">
        <v>10000</v>
      </c>
      <c r="K30" s="20" t="s">
        <v>488</v>
      </c>
      <c r="L30" s="23">
        <f t="shared" si="0"/>
        <v>-19375</v>
      </c>
      <c r="M30" s="23">
        <f t="shared" si="1"/>
        <v>-9375</v>
      </c>
    </row>
    <row r="31" spans="1:13" x14ac:dyDescent="0.3">
      <c r="A31" s="20"/>
      <c r="B31" s="20"/>
      <c r="C31" s="20"/>
      <c r="D31" s="20" t="s">
        <v>89</v>
      </c>
      <c r="E31" s="20" t="s">
        <v>186</v>
      </c>
      <c r="F31" s="22">
        <v>1250</v>
      </c>
      <c r="G31" s="20" t="s">
        <v>491</v>
      </c>
      <c r="H31" s="22">
        <v>15000</v>
      </c>
      <c r="I31" s="20" t="s">
        <v>287</v>
      </c>
      <c r="J31" s="22">
        <v>8000</v>
      </c>
      <c r="K31" s="20" t="s">
        <v>490</v>
      </c>
      <c r="L31" s="23">
        <f t="shared" si="0"/>
        <v>-13750</v>
      </c>
      <c r="M31" s="23">
        <f t="shared" si="1"/>
        <v>-6750</v>
      </c>
    </row>
    <row r="32" spans="1:13" x14ac:dyDescent="0.3">
      <c r="A32" s="20"/>
      <c r="B32" s="20"/>
      <c r="C32" s="20"/>
      <c r="D32" s="20" t="s">
        <v>407</v>
      </c>
      <c r="E32" s="20" t="s">
        <v>187</v>
      </c>
      <c r="F32" s="22">
        <v>3000</v>
      </c>
      <c r="G32" s="20" t="s">
        <v>336</v>
      </c>
      <c r="H32" s="22">
        <v>20000</v>
      </c>
      <c r="I32" s="20" t="s">
        <v>492</v>
      </c>
      <c r="J32" s="22">
        <v>10000</v>
      </c>
      <c r="K32" s="20" t="s">
        <v>493</v>
      </c>
      <c r="L32" s="23">
        <f t="shared" si="0"/>
        <v>-17000</v>
      </c>
      <c r="M32" s="23">
        <f t="shared" si="1"/>
        <v>-7000</v>
      </c>
    </row>
    <row r="33" spans="1:13" x14ac:dyDescent="0.3">
      <c r="A33" s="20"/>
      <c r="B33" s="20"/>
      <c r="C33" s="20"/>
      <c r="D33" s="20" t="s">
        <v>408</v>
      </c>
      <c r="E33" s="20" t="s">
        <v>187</v>
      </c>
      <c r="F33" s="22">
        <v>8333</v>
      </c>
      <c r="G33" s="20" t="s">
        <v>496</v>
      </c>
      <c r="H33" s="22">
        <v>33333</v>
      </c>
      <c r="I33" s="20" t="s">
        <v>494</v>
      </c>
      <c r="J33" s="22">
        <v>15000</v>
      </c>
      <c r="K33" s="20" t="s">
        <v>495</v>
      </c>
      <c r="L33" s="23">
        <f t="shared" si="0"/>
        <v>-25000</v>
      </c>
      <c r="M33" s="23">
        <f t="shared" si="1"/>
        <v>-6667</v>
      </c>
    </row>
    <row r="34" spans="1:13" x14ac:dyDescent="0.3">
      <c r="A34" s="20"/>
      <c r="B34" s="20"/>
      <c r="C34" s="20"/>
      <c r="D34" s="20" t="s">
        <v>194</v>
      </c>
      <c r="E34" s="20" t="s">
        <v>186</v>
      </c>
      <c r="F34" s="22">
        <v>10000</v>
      </c>
      <c r="G34" s="20" t="s">
        <v>338</v>
      </c>
      <c r="H34" s="22">
        <v>30000</v>
      </c>
      <c r="I34" s="20" t="s">
        <v>497</v>
      </c>
      <c r="J34" s="22">
        <v>20000</v>
      </c>
      <c r="K34" s="20" t="s">
        <v>498</v>
      </c>
      <c r="L34" s="23">
        <f t="shared" si="0"/>
        <v>-20000</v>
      </c>
      <c r="M34" s="23">
        <f t="shared" si="1"/>
        <v>-10000</v>
      </c>
    </row>
    <row r="35" spans="1:13" x14ac:dyDescent="0.3">
      <c r="A35" s="20"/>
      <c r="B35" s="20"/>
      <c r="C35" s="20"/>
      <c r="D35" s="20" t="s">
        <v>140</v>
      </c>
      <c r="E35" s="20" t="s">
        <v>186</v>
      </c>
      <c r="F35" s="22">
        <v>8667</v>
      </c>
      <c r="G35" s="20" t="s">
        <v>501</v>
      </c>
      <c r="H35" s="22">
        <v>41667</v>
      </c>
      <c r="I35" s="20" t="s">
        <v>499</v>
      </c>
      <c r="J35" s="22">
        <v>20000</v>
      </c>
      <c r="K35" s="20" t="s">
        <v>500</v>
      </c>
      <c r="L35" s="23">
        <f t="shared" si="0"/>
        <v>-33000</v>
      </c>
      <c r="M35" s="23">
        <f t="shared" si="1"/>
        <v>-11333</v>
      </c>
    </row>
    <row r="36" spans="1:13" x14ac:dyDescent="0.3">
      <c r="A36" s="20"/>
      <c r="B36" s="20"/>
      <c r="C36" s="20" t="s">
        <v>166</v>
      </c>
      <c r="D36" s="20" t="s">
        <v>168</v>
      </c>
      <c r="E36" s="20" t="s">
        <v>182</v>
      </c>
      <c r="F36" s="22">
        <v>1667</v>
      </c>
      <c r="G36" s="20" t="s">
        <v>504</v>
      </c>
      <c r="H36" s="22">
        <v>15000</v>
      </c>
      <c r="I36" s="20" t="s">
        <v>502</v>
      </c>
      <c r="J36" s="22">
        <v>5000</v>
      </c>
      <c r="K36" s="20" t="s">
        <v>503</v>
      </c>
      <c r="L36" s="23">
        <f t="shared" si="0"/>
        <v>-13333</v>
      </c>
      <c r="M36" s="23">
        <f t="shared" si="1"/>
        <v>-3333</v>
      </c>
    </row>
    <row r="37" spans="1:13" x14ac:dyDescent="0.3">
      <c r="A37" s="20"/>
      <c r="B37" s="20"/>
      <c r="C37" s="20" t="s">
        <v>143</v>
      </c>
      <c r="D37" s="20" t="s">
        <v>145</v>
      </c>
      <c r="E37" s="20" t="s">
        <v>186</v>
      </c>
      <c r="F37" s="22">
        <v>30000</v>
      </c>
      <c r="G37" s="20" t="s">
        <v>507</v>
      </c>
      <c r="H37" s="21">
        <v>0</v>
      </c>
      <c r="I37" s="20" t="s">
        <v>505</v>
      </c>
      <c r="J37" s="22">
        <v>10000</v>
      </c>
      <c r="K37" s="20" t="s">
        <v>506</v>
      </c>
      <c r="L37" s="23">
        <f t="shared" si="0"/>
        <v>30000</v>
      </c>
      <c r="M37" s="23">
        <f t="shared" si="1"/>
        <v>20000</v>
      </c>
    </row>
    <row r="38" spans="1:13" x14ac:dyDescent="0.3">
      <c r="A38" s="20"/>
      <c r="B38" s="20" t="s">
        <v>77</v>
      </c>
      <c r="C38" s="20" t="s">
        <v>409</v>
      </c>
      <c r="D38" s="20" t="s">
        <v>410</v>
      </c>
      <c r="E38" s="20" t="s">
        <v>34</v>
      </c>
      <c r="F38" s="22">
        <v>11250</v>
      </c>
      <c r="G38" s="20" t="s">
        <v>342</v>
      </c>
      <c r="H38" s="22">
        <v>20000</v>
      </c>
      <c r="I38" s="20" t="s">
        <v>508</v>
      </c>
      <c r="J38" s="22">
        <v>15000</v>
      </c>
      <c r="K38" s="20" t="s">
        <v>509</v>
      </c>
      <c r="L38" s="23">
        <f t="shared" si="0"/>
        <v>-8750</v>
      </c>
      <c r="M38" s="23">
        <f t="shared" si="1"/>
        <v>-3750</v>
      </c>
    </row>
    <row r="39" spans="1:13" x14ac:dyDescent="0.3">
      <c r="A39" s="20"/>
      <c r="B39" s="20"/>
      <c r="C39" s="20"/>
      <c r="D39" s="20" t="s">
        <v>121</v>
      </c>
      <c r="E39" s="20" t="s">
        <v>187</v>
      </c>
      <c r="F39" s="22">
        <v>7167</v>
      </c>
      <c r="G39" s="20" t="s">
        <v>343</v>
      </c>
      <c r="H39" s="22">
        <v>16667</v>
      </c>
      <c r="I39" s="20" t="s">
        <v>510</v>
      </c>
      <c r="J39" s="22">
        <v>10000</v>
      </c>
      <c r="K39" s="24" t="s">
        <v>548</v>
      </c>
      <c r="L39" s="23">
        <f t="shared" si="0"/>
        <v>-9500</v>
      </c>
      <c r="M39" s="23">
        <f t="shared" si="1"/>
        <v>-2833</v>
      </c>
    </row>
    <row r="40" spans="1:13" x14ac:dyDescent="0.3">
      <c r="A40" s="20"/>
      <c r="B40" s="20" t="s">
        <v>123</v>
      </c>
      <c r="C40" s="20" t="s">
        <v>411</v>
      </c>
      <c r="D40" s="20" t="s">
        <v>126</v>
      </c>
      <c r="E40" s="20" t="s">
        <v>187</v>
      </c>
      <c r="F40" s="22">
        <v>2000</v>
      </c>
      <c r="G40" s="20" t="s">
        <v>344</v>
      </c>
      <c r="H40" s="22">
        <v>30000</v>
      </c>
      <c r="I40" s="20" t="s">
        <v>295</v>
      </c>
      <c r="J40" s="22">
        <v>15000</v>
      </c>
      <c r="K40" s="20" t="s">
        <v>511</v>
      </c>
      <c r="L40" s="23">
        <f t="shared" si="0"/>
        <v>-28000</v>
      </c>
      <c r="M40" s="23">
        <f t="shared" si="1"/>
        <v>-13000</v>
      </c>
    </row>
    <row r="41" spans="1:13" x14ac:dyDescent="0.3">
      <c r="A41" s="20"/>
      <c r="B41" s="20"/>
      <c r="C41" s="20"/>
      <c r="D41" s="20" t="s">
        <v>412</v>
      </c>
      <c r="E41" s="20" t="s">
        <v>34</v>
      </c>
      <c r="F41" s="21">
        <v>300</v>
      </c>
      <c r="G41" s="20" t="s">
        <v>514</v>
      </c>
      <c r="H41" s="22">
        <v>3000</v>
      </c>
      <c r="I41" s="20" t="s">
        <v>512</v>
      </c>
      <c r="J41" s="22">
        <v>2000</v>
      </c>
      <c r="K41" s="20" t="s">
        <v>513</v>
      </c>
      <c r="L41" s="23">
        <f t="shared" si="0"/>
        <v>-2700</v>
      </c>
      <c r="M41" s="23">
        <f t="shared" si="1"/>
        <v>-1700</v>
      </c>
    </row>
    <row r="42" spans="1:13" x14ac:dyDescent="0.3">
      <c r="A42" s="20"/>
      <c r="B42" s="20"/>
      <c r="C42" s="20"/>
      <c r="D42" s="20" t="s">
        <v>170</v>
      </c>
      <c r="E42" s="20" t="s">
        <v>182</v>
      </c>
      <c r="F42" s="21">
        <v>500</v>
      </c>
      <c r="G42" s="20" t="s">
        <v>516</v>
      </c>
      <c r="H42" s="22">
        <v>5000</v>
      </c>
      <c r="I42" s="20" t="s">
        <v>297</v>
      </c>
      <c r="J42" s="22">
        <v>3000</v>
      </c>
      <c r="K42" s="20" t="s">
        <v>515</v>
      </c>
      <c r="L42" s="23">
        <f t="shared" si="0"/>
        <v>-4500</v>
      </c>
      <c r="M42" s="23">
        <f t="shared" si="1"/>
        <v>-2500</v>
      </c>
    </row>
    <row r="43" spans="1:13" x14ac:dyDescent="0.3">
      <c r="A43" s="20"/>
      <c r="B43" s="20" t="s">
        <v>81</v>
      </c>
      <c r="C43" s="20" t="s">
        <v>413</v>
      </c>
      <c r="D43" s="20" t="s">
        <v>414</v>
      </c>
      <c r="E43" s="20" t="s">
        <v>34</v>
      </c>
      <c r="F43" s="21">
        <v>500</v>
      </c>
      <c r="G43" s="20" t="s">
        <v>347</v>
      </c>
      <c r="H43" s="22">
        <v>10000</v>
      </c>
      <c r="I43" s="20" t="s">
        <v>517</v>
      </c>
      <c r="J43" s="22">
        <v>5000</v>
      </c>
      <c r="K43" s="20" t="s">
        <v>518</v>
      </c>
      <c r="L43" s="23">
        <f t="shared" si="0"/>
        <v>-9500</v>
      </c>
      <c r="M43" s="23">
        <f t="shared" si="1"/>
        <v>-4500</v>
      </c>
    </row>
    <row r="44" spans="1:13" x14ac:dyDescent="0.3">
      <c r="A44" s="20"/>
      <c r="B44" s="20"/>
      <c r="C44" s="20"/>
      <c r="D44" s="20" t="s">
        <v>85</v>
      </c>
      <c r="E44" s="20" t="s">
        <v>184</v>
      </c>
      <c r="F44" s="22">
        <v>5000</v>
      </c>
      <c r="G44" s="20" t="s">
        <v>521</v>
      </c>
      <c r="H44" s="22">
        <v>80000</v>
      </c>
      <c r="I44" s="20" t="s">
        <v>519</v>
      </c>
      <c r="J44" s="22">
        <v>40000</v>
      </c>
      <c r="K44" s="20" t="s">
        <v>520</v>
      </c>
      <c r="L44" s="23">
        <f t="shared" si="0"/>
        <v>-75000</v>
      </c>
      <c r="M44" s="23">
        <f t="shared" si="1"/>
        <v>-35000</v>
      </c>
    </row>
    <row r="45" spans="1:13" x14ac:dyDescent="0.3">
      <c r="A45" s="20"/>
      <c r="B45" s="20"/>
      <c r="C45" s="20"/>
      <c r="D45" s="20" t="s">
        <v>87</v>
      </c>
      <c r="E45" s="20" t="s">
        <v>184</v>
      </c>
      <c r="F45" s="22">
        <v>30000</v>
      </c>
      <c r="G45" s="20" t="s">
        <v>349</v>
      </c>
      <c r="H45" s="22">
        <v>120000</v>
      </c>
      <c r="I45" s="20" t="s">
        <v>522</v>
      </c>
      <c r="J45" s="22">
        <v>60000</v>
      </c>
      <c r="K45" s="20" t="s">
        <v>523</v>
      </c>
      <c r="L45" s="23">
        <f t="shared" si="0"/>
        <v>-90000</v>
      </c>
      <c r="M45" s="23">
        <f t="shared" si="1"/>
        <v>-30000</v>
      </c>
    </row>
    <row r="46" spans="1:13" x14ac:dyDescent="0.3">
      <c r="A46" s="20"/>
      <c r="B46" s="20" t="s">
        <v>91</v>
      </c>
      <c r="C46" s="20" t="s">
        <v>415</v>
      </c>
      <c r="D46" s="20" t="s">
        <v>94</v>
      </c>
      <c r="E46" s="20" t="s">
        <v>184</v>
      </c>
      <c r="F46" s="22">
        <v>10000</v>
      </c>
      <c r="G46" s="20" t="s">
        <v>350</v>
      </c>
      <c r="H46" s="22">
        <v>120000</v>
      </c>
      <c r="I46" s="20" t="s">
        <v>301</v>
      </c>
      <c r="J46" s="22">
        <v>60000</v>
      </c>
      <c r="K46" s="24" t="s">
        <v>549</v>
      </c>
      <c r="L46" s="23">
        <f t="shared" si="0"/>
        <v>-110000</v>
      </c>
      <c r="M46" s="23">
        <f t="shared" si="1"/>
        <v>-50000</v>
      </c>
    </row>
    <row r="47" spans="1:13" x14ac:dyDescent="0.3">
      <c r="A47" s="20"/>
      <c r="B47" s="20"/>
      <c r="C47" s="20"/>
      <c r="D47" s="20" t="s">
        <v>96</v>
      </c>
      <c r="E47" s="20" t="s">
        <v>184</v>
      </c>
      <c r="F47" s="22">
        <v>10000</v>
      </c>
      <c r="G47" s="20" t="s">
        <v>351</v>
      </c>
      <c r="H47" s="22">
        <v>80000</v>
      </c>
      <c r="I47" s="20" t="s">
        <v>302</v>
      </c>
      <c r="J47" s="22">
        <v>40000</v>
      </c>
      <c r="K47" s="20" t="s">
        <v>524</v>
      </c>
      <c r="L47" s="23">
        <f t="shared" si="0"/>
        <v>-70000</v>
      </c>
      <c r="M47" s="23">
        <f t="shared" si="1"/>
        <v>-30000</v>
      </c>
    </row>
    <row r="48" spans="1:13" x14ac:dyDescent="0.3">
      <c r="A48" s="20"/>
      <c r="B48" s="20" t="s">
        <v>104</v>
      </c>
      <c r="C48" s="20" t="s">
        <v>416</v>
      </c>
      <c r="D48" s="20" t="s">
        <v>107</v>
      </c>
      <c r="E48" s="20" t="s">
        <v>187</v>
      </c>
      <c r="F48" s="22">
        <v>1000</v>
      </c>
      <c r="G48" s="20" t="s">
        <v>527</v>
      </c>
      <c r="H48" s="22">
        <v>15000</v>
      </c>
      <c r="I48" s="20" t="s">
        <v>525</v>
      </c>
      <c r="J48" s="22">
        <v>5000</v>
      </c>
      <c r="K48" s="20" t="s">
        <v>526</v>
      </c>
      <c r="L48" s="23">
        <f t="shared" si="0"/>
        <v>-14000</v>
      </c>
      <c r="M48" s="23">
        <f t="shared" si="1"/>
        <v>-4000</v>
      </c>
    </row>
    <row r="49" spans="1:13" x14ac:dyDescent="0.3">
      <c r="A49" s="20"/>
      <c r="B49" s="20"/>
      <c r="C49" s="20"/>
      <c r="D49" s="20" t="s">
        <v>417</v>
      </c>
      <c r="E49" s="20" t="s">
        <v>182</v>
      </c>
      <c r="F49" s="21">
        <v>0</v>
      </c>
      <c r="G49" s="20" t="s">
        <v>418</v>
      </c>
      <c r="H49" s="22">
        <v>10000</v>
      </c>
      <c r="I49" s="20" t="s">
        <v>304</v>
      </c>
      <c r="J49" s="22">
        <v>10000</v>
      </c>
      <c r="K49" s="20" t="s">
        <v>528</v>
      </c>
      <c r="L49" s="23">
        <f t="shared" si="0"/>
        <v>-10000</v>
      </c>
      <c r="M49" s="23">
        <f t="shared" si="1"/>
        <v>-10000</v>
      </c>
    </row>
    <row r="50" spans="1:13" x14ac:dyDescent="0.3">
      <c r="A50" s="20"/>
      <c r="B50" s="20" t="s">
        <v>130</v>
      </c>
      <c r="C50" s="20" t="s">
        <v>132</v>
      </c>
      <c r="D50" s="20" t="s">
        <v>419</v>
      </c>
      <c r="E50" s="20" t="s">
        <v>186</v>
      </c>
      <c r="F50" s="21">
        <v>0</v>
      </c>
      <c r="G50" s="20" t="s">
        <v>531</v>
      </c>
      <c r="H50" s="22">
        <v>40000</v>
      </c>
      <c r="I50" s="20" t="s">
        <v>529</v>
      </c>
      <c r="J50" s="22">
        <v>20000</v>
      </c>
      <c r="K50" s="20" t="s">
        <v>530</v>
      </c>
      <c r="L50" s="23">
        <f t="shared" si="0"/>
        <v>-40000</v>
      </c>
      <c r="M50" s="23">
        <f t="shared" si="1"/>
        <v>-20000</v>
      </c>
    </row>
    <row r="51" spans="1:13" x14ac:dyDescent="0.3">
      <c r="A51" s="20"/>
      <c r="B51" s="20"/>
      <c r="C51" s="20"/>
      <c r="D51" s="20" t="s">
        <v>420</v>
      </c>
      <c r="E51" s="20" t="s">
        <v>186</v>
      </c>
      <c r="F51" s="21">
        <v>0</v>
      </c>
      <c r="G51" s="20" t="s">
        <v>355</v>
      </c>
      <c r="H51" s="22">
        <v>10000</v>
      </c>
      <c r="I51" s="20" t="s">
        <v>306</v>
      </c>
      <c r="J51" s="22">
        <v>5000</v>
      </c>
      <c r="K51" s="20" t="s">
        <v>532</v>
      </c>
      <c r="L51" s="23">
        <f t="shared" si="0"/>
        <v>-10000</v>
      </c>
      <c r="M51" s="23">
        <f t="shared" si="1"/>
        <v>-5000</v>
      </c>
    </row>
    <row r="52" spans="1:13" x14ac:dyDescent="0.3">
      <c r="A52" s="20"/>
      <c r="B52" s="20"/>
      <c r="C52" s="20"/>
      <c r="D52" s="20" t="s">
        <v>136</v>
      </c>
      <c r="E52" s="20" t="s">
        <v>186</v>
      </c>
      <c r="F52" s="21">
        <v>0</v>
      </c>
      <c r="G52" s="20" t="s">
        <v>356</v>
      </c>
      <c r="H52" s="21">
        <v>0</v>
      </c>
      <c r="I52" s="20" t="s">
        <v>421</v>
      </c>
      <c r="J52" s="21">
        <v>0</v>
      </c>
      <c r="K52" s="20" t="s">
        <v>533</v>
      </c>
      <c r="L52" s="23">
        <f t="shared" si="0"/>
        <v>0</v>
      </c>
      <c r="M52" s="23">
        <f t="shared" si="1"/>
        <v>0</v>
      </c>
    </row>
    <row r="53" spans="1:13" x14ac:dyDescent="0.3">
      <c r="A53" s="20"/>
      <c r="B53" s="20"/>
      <c r="C53" s="20"/>
      <c r="D53" s="20" t="s">
        <v>138</v>
      </c>
      <c r="E53" s="20" t="s">
        <v>186</v>
      </c>
      <c r="F53" s="21">
        <v>0</v>
      </c>
      <c r="G53" s="20" t="s">
        <v>357</v>
      </c>
      <c r="H53" s="22">
        <v>60000</v>
      </c>
      <c r="I53" s="20" t="s">
        <v>534</v>
      </c>
      <c r="J53" s="22">
        <v>30000</v>
      </c>
      <c r="K53" s="20" t="s">
        <v>535</v>
      </c>
      <c r="L53" s="23">
        <f t="shared" si="0"/>
        <v>-60000</v>
      </c>
      <c r="M53" s="23">
        <f t="shared" si="1"/>
        <v>-30000</v>
      </c>
    </row>
    <row r="54" spans="1:13" x14ac:dyDescent="0.3">
      <c r="A54" s="25"/>
      <c r="B54" s="25"/>
      <c r="C54" s="25"/>
      <c r="D54" s="25" t="s">
        <v>172</v>
      </c>
      <c r="E54" s="25" t="s">
        <v>182</v>
      </c>
      <c r="F54" s="27">
        <v>0</v>
      </c>
      <c r="G54" s="25" t="s">
        <v>537</v>
      </c>
      <c r="H54" s="27">
        <v>0</v>
      </c>
      <c r="I54" s="25" t="s">
        <v>422</v>
      </c>
      <c r="J54" s="27">
        <v>0</v>
      </c>
      <c r="K54" s="25" t="s">
        <v>536</v>
      </c>
      <c r="L54" s="26">
        <f t="shared" si="0"/>
        <v>0</v>
      </c>
      <c r="M54" s="26">
        <f t="shared" si="1"/>
        <v>0</v>
      </c>
    </row>
    <row r="55" spans="1:13" x14ac:dyDescent="0.3">
      <c r="A55" s="20" t="s">
        <v>72</v>
      </c>
      <c r="B55" s="20" t="s">
        <v>149</v>
      </c>
      <c r="C55" s="20" t="s">
        <v>423</v>
      </c>
      <c r="D55" s="20" t="s">
        <v>152</v>
      </c>
      <c r="E55" s="20" t="s">
        <v>72</v>
      </c>
      <c r="F55" s="21">
        <v>0</v>
      </c>
      <c r="G55" s="20" t="s">
        <v>539</v>
      </c>
      <c r="H55" s="22">
        <v>300000</v>
      </c>
      <c r="I55" s="20" t="s">
        <v>310</v>
      </c>
      <c r="J55" s="22">
        <v>150000</v>
      </c>
      <c r="K55" s="20" t="s">
        <v>538</v>
      </c>
      <c r="L55" s="23">
        <f t="shared" si="0"/>
        <v>-300000</v>
      </c>
      <c r="M55" s="23">
        <f t="shared" si="1"/>
        <v>-150000</v>
      </c>
    </row>
    <row r="56" spans="1:13" x14ac:dyDescent="0.3">
      <c r="A56" s="20"/>
      <c r="B56" s="20" t="s">
        <v>178</v>
      </c>
      <c r="C56" s="20" t="s">
        <v>196</v>
      </c>
      <c r="D56" s="20" t="s">
        <v>180</v>
      </c>
      <c r="E56" s="20" t="s">
        <v>72</v>
      </c>
      <c r="F56" s="21">
        <v>0</v>
      </c>
      <c r="G56" s="20" t="s">
        <v>541</v>
      </c>
      <c r="H56" s="21">
        <v>0</v>
      </c>
      <c r="I56" s="20" t="s">
        <v>424</v>
      </c>
      <c r="J56" s="21">
        <v>0</v>
      </c>
      <c r="K56" s="20" t="s">
        <v>540</v>
      </c>
      <c r="L56" s="23">
        <f t="shared" si="0"/>
        <v>0</v>
      </c>
      <c r="M56" s="23">
        <f t="shared" si="1"/>
        <v>0</v>
      </c>
    </row>
    <row r="57" spans="1:13" x14ac:dyDescent="0.3">
      <c r="A57" s="20"/>
      <c r="B57" s="20" t="s">
        <v>74</v>
      </c>
      <c r="C57" s="20" t="s">
        <v>425</v>
      </c>
      <c r="D57" s="20" t="s">
        <v>176</v>
      </c>
      <c r="E57" s="20" t="s">
        <v>72</v>
      </c>
      <c r="F57" s="21">
        <v>0</v>
      </c>
      <c r="G57" s="20" t="s">
        <v>544</v>
      </c>
      <c r="H57" s="21">
        <v>0</v>
      </c>
      <c r="I57" s="20" t="s">
        <v>542</v>
      </c>
      <c r="J57" s="21">
        <v>0</v>
      </c>
      <c r="K57" s="20" t="s">
        <v>543</v>
      </c>
      <c r="L57" s="23">
        <f t="shared" si="0"/>
        <v>0</v>
      </c>
      <c r="M57" s="23">
        <f t="shared" si="1"/>
        <v>0</v>
      </c>
    </row>
    <row r="58" spans="1:13" x14ac:dyDescent="0.3">
      <c r="A58" s="20"/>
      <c r="B58" s="20"/>
      <c r="C58" s="20"/>
      <c r="D58" s="20" t="s">
        <v>174</v>
      </c>
      <c r="E58" s="20" t="s">
        <v>72</v>
      </c>
      <c r="F58" s="21">
        <v>0</v>
      </c>
      <c r="G58" s="20" t="s">
        <v>361</v>
      </c>
      <c r="H58" s="22">
        <v>150000</v>
      </c>
      <c r="I58" s="20" t="s">
        <v>545</v>
      </c>
      <c r="J58" s="22">
        <v>50000</v>
      </c>
      <c r="K58" s="20" t="s">
        <v>546</v>
      </c>
      <c r="L58" s="23">
        <f t="shared" si="0"/>
        <v>-150000</v>
      </c>
      <c r="M58" s="23">
        <f t="shared" si="1"/>
        <v>-50000</v>
      </c>
    </row>
    <row r="59" spans="1:13" x14ac:dyDescent="0.3">
      <c r="A59" s="25" t="s">
        <v>547</v>
      </c>
      <c r="B59" s="25"/>
      <c r="C59" s="25"/>
      <c r="D59" s="25"/>
      <c r="E59" s="25"/>
      <c r="F59" s="29">
        <f>SUM(F2:F58)</f>
        <v>431339</v>
      </c>
      <c r="G59" s="25"/>
      <c r="H59" s="29">
        <f>SUM(H2:H58)</f>
        <v>2448444</v>
      </c>
      <c r="I59" s="25"/>
      <c r="J59" s="29">
        <f>SUM(J2:J58)</f>
        <v>1411000</v>
      </c>
      <c r="K59" s="25"/>
      <c r="L59" s="29">
        <f>SUM(L2:L58)</f>
        <v>-2017105</v>
      </c>
      <c r="M59" s="29">
        <f>SUM(M2:M58)</f>
        <v>-979661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F9F7-DD22-44E2-B44A-094954FFB3DE}">
  <dimension ref="A1:O29"/>
  <sheetViews>
    <sheetView topLeftCell="C1" workbookViewId="0">
      <selection activeCell="L3" sqref="L3"/>
    </sheetView>
  </sheetViews>
  <sheetFormatPr defaultRowHeight="16.5" x14ac:dyDescent="0.3"/>
  <cols>
    <col min="2" max="2" width="74.375" bestFit="1" customWidth="1"/>
    <col min="7" max="8" width="13" bestFit="1" customWidth="1"/>
    <col min="9" max="9" width="14.625" bestFit="1" customWidth="1"/>
    <col min="10" max="11" width="11.875" bestFit="1" customWidth="1"/>
    <col min="12" max="12" width="14.625" bestFit="1" customWidth="1"/>
    <col min="13" max="14" width="13" bestFit="1" customWidth="1"/>
    <col min="15" max="15" width="15.625" bestFit="1" customWidth="1"/>
  </cols>
  <sheetData>
    <row r="1" spans="1:15" x14ac:dyDescent="0.3">
      <c r="A1" s="1" t="s">
        <v>552</v>
      </c>
      <c r="B1" s="1" t="s">
        <v>554</v>
      </c>
      <c r="C1" s="1" t="s">
        <v>563</v>
      </c>
    </row>
    <row r="2" spans="1:15" x14ac:dyDescent="0.3">
      <c r="A2" t="s">
        <v>553</v>
      </c>
      <c r="B2" t="s">
        <v>559</v>
      </c>
      <c r="C2">
        <v>3</v>
      </c>
      <c r="F2" s="1" t="s">
        <v>575</v>
      </c>
      <c r="G2" t="s">
        <v>572</v>
      </c>
      <c r="H2" t="s">
        <v>580</v>
      </c>
      <c r="J2" t="s">
        <v>573</v>
      </c>
      <c r="K2" s="14" t="s">
        <v>581</v>
      </c>
      <c r="L2" s="15">
        <v>-0.02</v>
      </c>
      <c r="M2" t="s">
        <v>574</v>
      </c>
    </row>
    <row r="3" spans="1:15" x14ac:dyDescent="0.3">
      <c r="A3" t="s">
        <v>555</v>
      </c>
      <c r="B3" t="s">
        <v>556</v>
      </c>
      <c r="C3">
        <v>10</v>
      </c>
      <c r="F3" s="1" t="s">
        <v>571</v>
      </c>
      <c r="G3" s="1" t="s">
        <v>38</v>
      </c>
      <c r="H3" s="1" t="s">
        <v>570</v>
      </c>
      <c r="I3" s="1" t="s">
        <v>569</v>
      </c>
      <c r="J3" s="1" t="s">
        <v>38</v>
      </c>
      <c r="K3" s="1" t="s">
        <v>570</v>
      </c>
      <c r="L3" s="1" t="s">
        <v>569</v>
      </c>
      <c r="M3" s="1" t="s">
        <v>38</v>
      </c>
      <c r="N3" s="1" t="s">
        <v>570</v>
      </c>
      <c r="O3" s="1" t="s">
        <v>569</v>
      </c>
    </row>
    <row r="4" spans="1:15" x14ac:dyDescent="0.3">
      <c r="A4" t="s">
        <v>557</v>
      </c>
      <c r="B4" t="s">
        <v>558</v>
      </c>
      <c r="C4">
        <v>34</v>
      </c>
      <c r="F4">
        <v>2</v>
      </c>
      <c r="G4" s="8">
        <f>D29*12</f>
        <v>13200</v>
      </c>
      <c r="H4" s="8">
        <f t="shared" ref="H4:I4" si="0">E29*12</f>
        <v>24000</v>
      </c>
      <c r="I4" s="8">
        <f t="shared" si="0"/>
        <v>37200</v>
      </c>
      <c r="J4" s="8">
        <f ca="1">G4*RANDBETWEEN(-10, 10)/100</f>
        <v>924</v>
      </c>
      <c r="K4" s="8">
        <f ca="1">H4*RANDBETWEEN(-10, 10)/100</f>
        <v>-1680</v>
      </c>
      <c r="L4" s="8">
        <f>I4*L$2</f>
        <v>-744</v>
      </c>
      <c r="M4" s="8">
        <f ca="1">G4+J4</f>
        <v>14124</v>
      </c>
      <c r="N4" s="8">
        <f t="shared" ref="N4:O4" ca="1" si="1">H4+K4</f>
        <v>22320</v>
      </c>
      <c r="O4" s="8">
        <f t="shared" si="1"/>
        <v>36456</v>
      </c>
    </row>
    <row r="5" spans="1:15" x14ac:dyDescent="0.3">
      <c r="A5" t="s">
        <v>566</v>
      </c>
      <c r="B5" t="s">
        <v>556</v>
      </c>
      <c r="C5">
        <v>4</v>
      </c>
      <c r="F5">
        <v>3</v>
      </c>
      <c r="G5" s="8">
        <f ca="1">G$4+M4</f>
        <v>27324</v>
      </c>
      <c r="H5" s="8">
        <f t="shared" ref="H5:I5" ca="1" si="2">H$4+N4</f>
        <v>46320</v>
      </c>
      <c r="I5" s="8">
        <f t="shared" si="2"/>
        <v>73656</v>
      </c>
      <c r="J5" s="8">
        <f t="shared" ref="J5:J23" ca="1" si="3">G5*RANDBETWEEN(-10, 10)/100</f>
        <v>-2185.92</v>
      </c>
      <c r="K5" s="8">
        <f t="shared" ref="K5:K23" ca="1" si="4">H5*RANDBETWEEN(-10, 10)/100</f>
        <v>-2779.2</v>
      </c>
      <c r="L5" s="8">
        <f t="shared" ref="L5:L23" si="5">I5*L$2</f>
        <v>-1473.1200000000001</v>
      </c>
      <c r="M5" s="8">
        <f t="shared" ref="M5:M23" ca="1" si="6">G5+J5</f>
        <v>25138.080000000002</v>
      </c>
      <c r="N5" s="8">
        <f t="shared" ref="N5:N23" ca="1" si="7">H5+K5</f>
        <v>43540.800000000003</v>
      </c>
      <c r="O5" s="8">
        <f t="shared" ref="O5:O23" si="8">I5+L5</f>
        <v>72182.880000000005</v>
      </c>
    </row>
    <row r="6" spans="1:15" x14ac:dyDescent="0.3">
      <c r="A6" t="s">
        <v>560</v>
      </c>
      <c r="B6" t="s">
        <v>567</v>
      </c>
      <c r="C6">
        <v>2</v>
      </c>
      <c r="F6">
        <v>4</v>
      </c>
      <c r="G6" s="8">
        <f t="shared" ref="G6:G23" ca="1" si="9">G$4+M5</f>
        <v>38338.080000000002</v>
      </c>
      <c r="H6" s="8">
        <f t="shared" ref="H6:H23" ca="1" si="10">H$4+N5</f>
        <v>67540.800000000003</v>
      </c>
      <c r="I6" s="8">
        <f>I$4+O5</f>
        <v>109382.88</v>
      </c>
      <c r="J6" s="8">
        <f t="shared" ca="1" si="3"/>
        <v>766.76160000000004</v>
      </c>
      <c r="K6" s="8">
        <f t="shared" ca="1" si="4"/>
        <v>-3377.04</v>
      </c>
      <c r="L6" s="8">
        <f>I6*L$2</f>
        <v>-2187.6576</v>
      </c>
      <c r="M6" s="8">
        <f ca="1">G6+J6</f>
        <v>39104.8416</v>
      </c>
      <c r="N6" s="8">
        <f t="shared" ca="1" si="7"/>
        <v>64163.76</v>
      </c>
      <c r="O6" s="8">
        <f t="shared" si="8"/>
        <v>107195.2224</v>
      </c>
    </row>
    <row r="7" spans="1:15" x14ac:dyDescent="0.3">
      <c r="A7" t="s">
        <v>561</v>
      </c>
      <c r="B7" t="s">
        <v>564</v>
      </c>
      <c r="C7">
        <v>3</v>
      </c>
      <c r="F7">
        <v>5</v>
      </c>
      <c r="G7" s="8">
        <f t="shared" ca="1" si="9"/>
        <v>52304.8416</v>
      </c>
      <c r="H7" s="8">
        <f t="shared" ca="1" si="10"/>
        <v>88163.760000000009</v>
      </c>
      <c r="I7" s="8">
        <f>I$4+O6</f>
        <v>144395.2224</v>
      </c>
      <c r="J7" s="8">
        <f t="shared" ca="1" si="3"/>
        <v>0</v>
      </c>
      <c r="K7" s="8">
        <f t="shared" ca="1" si="4"/>
        <v>8816.3760000000002</v>
      </c>
      <c r="L7" s="8">
        <f t="shared" si="5"/>
        <v>-2887.9044480000002</v>
      </c>
      <c r="M7" s="8">
        <f t="shared" ca="1" si="6"/>
        <v>52304.8416</v>
      </c>
      <c r="N7" s="8">
        <f t="shared" ca="1" si="7"/>
        <v>96980.136000000013</v>
      </c>
      <c r="O7" s="8">
        <f t="shared" si="8"/>
        <v>141507.31795200001</v>
      </c>
    </row>
    <row r="8" spans="1:15" x14ac:dyDescent="0.3">
      <c r="B8" t="s">
        <v>565</v>
      </c>
      <c r="C8">
        <v>4</v>
      </c>
      <c r="F8">
        <v>6</v>
      </c>
      <c r="G8" s="8">
        <f t="shared" ca="1" si="9"/>
        <v>65504.8416</v>
      </c>
      <c r="H8" s="8">
        <f t="shared" ca="1" si="10"/>
        <v>120980.13600000001</v>
      </c>
      <c r="I8" s="8">
        <f t="shared" ref="I8:I23" si="11">I$4+O7</f>
        <v>178707.31795200001</v>
      </c>
      <c r="J8" s="8">
        <f t="shared" ca="1" si="3"/>
        <v>-655.04841599999997</v>
      </c>
      <c r="K8" s="8">
        <f t="shared" ca="1" si="4"/>
        <v>-12098.0136</v>
      </c>
      <c r="L8" s="8">
        <f t="shared" si="5"/>
        <v>-3574.1463590400003</v>
      </c>
      <c r="M8" s="8">
        <f t="shared" ca="1" si="6"/>
        <v>64849.793184000002</v>
      </c>
      <c r="N8" s="8">
        <f t="shared" ca="1" si="7"/>
        <v>108882.12240000001</v>
      </c>
      <c r="O8" s="8">
        <f t="shared" si="8"/>
        <v>175133.17159296002</v>
      </c>
    </row>
    <row r="9" spans="1:15" x14ac:dyDescent="0.3">
      <c r="B9" t="s">
        <v>562</v>
      </c>
      <c r="C9">
        <v>2</v>
      </c>
      <c r="F9">
        <v>7</v>
      </c>
      <c r="G9" s="8">
        <f t="shared" ca="1" si="9"/>
        <v>78049.793184000009</v>
      </c>
      <c r="H9" s="8">
        <f t="shared" ca="1" si="10"/>
        <v>132882.12239999999</v>
      </c>
      <c r="I9" s="8">
        <f t="shared" si="11"/>
        <v>212333.17159296002</v>
      </c>
      <c r="J9" s="8">
        <f t="shared" ca="1" si="3"/>
        <v>780.49793184000009</v>
      </c>
      <c r="K9" s="8">
        <f t="shared" ca="1" si="4"/>
        <v>-2657.6424480000001</v>
      </c>
      <c r="L9" s="8">
        <f t="shared" si="5"/>
        <v>-4246.6634318592005</v>
      </c>
      <c r="M9" s="8">
        <f t="shared" ca="1" si="6"/>
        <v>78830.291115840009</v>
      </c>
      <c r="N9" s="8">
        <f t="shared" ca="1" si="7"/>
        <v>130224.47995199999</v>
      </c>
      <c r="O9" s="8">
        <f t="shared" si="8"/>
        <v>208086.50816110082</v>
      </c>
    </row>
    <row r="10" spans="1:15" x14ac:dyDescent="0.3">
      <c r="B10" t="s">
        <v>568</v>
      </c>
      <c r="C10">
        <f>SUM(C2:C9)</f>
        <v>62</v>
      </c>
      <c r="F10">
        <v>8</v>
      </c>
      <c r="G10" s="8">
        <f t="shared" ca="1" si="9"/>
        <v>92030.291115840009</v>
      </c>
      <c r="H10" s="8">
        <f t="shared" ca="1" si="10"/>
        <v>154224.47995199999</v>
      </c>
      <c r="I10" s="8">
        <f>I$4+O9</f>
        <v>245286.50816110082</v>
      </c>
      <c r="J10" s="8">
        <f t="shared" ca="1" si="3"/>
        <v>4601.5145557920005</v>
      </c>
      <c r="K10" s="8">
        <f t="shared" ca="1" si="4"/>
        <v>-4626.73439856</v>
      </c>
      <c r="L10" s="8">
        <f t="shared" si="5"/>
        <v>-4905.7301632220169</v>
      </c>
      <c r="M10" s="8">
        <f t="shared" ca="1" si="6"/>
        <v>96631.805671632013</v>
      </c>
      <c r="N10" s="8">
        <f t="shared" ca="1" si="7"/>
        <v>149597.74555344001</v>
      </c>
      <c r="O10" s="8">
        <f t="shared" si="8"/>
        <v>240380.77799787882</v>
      </c>
    </row>
    <row r="11" spans="1:15" x14ac:dyDescent="0.3">
      <c r="F11">
        <v>9</v>
      </c>
      <c r="G11" s="8">
        <f t="shared" ca="1" si="9"/>
        <v>109831.80567163201</v>
      </c>
      <c r="H11" s="8">
        <f t="shared" ca="1" si="10"/>
        <v>173597.74555344001</v>
      </c>
      <c r="I11" s="8">
        <f t="shared" si="11"/>
        <v>277580.77799787885</v>
      </c>
      <c r="J11" s="8">
        <f t="shared" ca="1" si="3"/>
        <v>-2196.6361134326403</v>
      </c>
      <c r="K11" s="8">
        <f t="shared" ca="1" si="4"/>
        <v>1735.9774555344002</v>
      </c>
      <c r="L11" s="8">
        <f t="shared" si="5"/>
        <v>-5551.6155599575768</v>
      </c>
      <c r="M11" s="8">
        <f t="shared" ca="1" si="6"/>
        <v>107635.16955819937</v>
      </c>
      <c r="N11" s="8">
        <f t="shared" ca="1" si="7"/>
        <v>175333.7230089744</v>
      </c>
      <c r="O11" s="8">
        <f t="shared" si="8"/>
        <v>272029.16243792127</v>
      </c>
    </row>
    <row r="12" spans="1:15" x14ac:dyDescent="0.3">
      <c r="F12">
        <v>10</v>
      </c>
      <c r="G12" s="8">
        <f t="shared" ca="1" si="9"/>
        <v>120835.16955819937</v>
      </c>
      <c r="H12" s="8">
        <f t="shared" ca="1" si="10"/>
        <v>199333.7230089744</v>
      </c>
      <c r="I12" s="8">
        <f t="shared" si="11"/>
        <v>309229.16243792127</v>
      </c>
      <c r="J12" s="8">
        <f t="shared" ca="1" si="3"/>
        <v>6041.7584779099689</v>
      </c>
      <c r="K12" s="8">
        <f t="shared" ca="1" si="4"/>
        <v>-9966.6861504487206</v>
      </c>
      <c r="L12" s="8">
        <f t="shared" si="5"/>
        <v>-6184.5832487584257</v>
      </c>
      <c r="M12" s="8">
        <f t="shared" ca="1" si="6"/>
        <v>126876.92803610934</v>
      </c>
      <c r="N12" s="8">
        <f t="shared" ca="1" si="7"/>
        <v>189367.03685852568</v>
      </c>
      <c r="O12" s="8">
        <f t="shared" si="8"/>
        <v>303044.57918916288</v>
      </c>
    </row>
    <row r="13" spans="1:15" x14ac:dyDescent="0.3">
      <c r="F13">
        <v>11</v>
      </c>
      <c r="G13" s="8">
        <f t="shared" ca="1" si="9"/>
        <v>140076.92803610934</v>
      </c>
      <c r="H13" s="8">
        <f t="shared" ca="1" si="10"/>
        <v>213367.03685852568</v>
      </c>
      <c r="I13" s="8">
        <f t="shared" si="11"/>
        <v>340244.57918916288</v>
      </c>
      <c r="J13" s="8">
        <f t="shared" ca="1" si="3"/>
        <v>2801.538560722187</v>
      </c>
      <c r="K13" s="8">
        <f t="shared" ca="1" si="4"/>
        <v>12802.022211511539</v>
      </c>
      <c r="L13" s="8">
        <f t="shared" si="5"/>
        <v>-6804.8915837832574</v>
      </c>
      <c r="M13" s="8">
        <f t="shared" ca="1" si="6"/>
        <v>142878.46659683154</v>
      </c>
      <c r="N13" s="8">
        <f t="shared" ca="1" si="7"/>
        <v>226169.05907003721</v>
      </c>
      <c r="O13" s="8">
        <f t="shared" si="8"/>
        <v>333439.68760537961</v>
      </c>
    </row>
    <row r="14" spans="1:15" x14ac:dyDescent="0.3">
      <c r="F14">
        <v>12</v>
      </c>
      <c r="G14" s="8">
        <f t="shared" ca="1" si="9"/>
        <v>156078.46659683154</v>
      </c>
      <c r="H14" s="8">
        <f t="shared" ca="1" si="10"/>
        <v>250169.05907003721</v>
      </c>
      <c r="I14" s="8">
        <f t="shared" si="11"/>
        <v>370639.68760537961</v>
      </c>
      <c r="J14" s="8">
        <f t="shared" ca="1" si="3"/>
        <v>-14047.061993714839</v>
      </c>
      <c r="K14" s="8">
        <f t="shared" ca="1" si="4"/>
        <v>-20013.524725602976</v>
      </c>
      <c r="L14" s="8">
        <f>I14*L$2</f>
        <v>-7412.7937521075928</v>
      </c>
      <c r="M14" s="8">
        <f t="shared" ca="1" si="6"/>
        <v>142031.40460311671</v>
      </c>
      <c r="N14" s="8">
        <f t="shared" ca="1" si="7"/>
        <v>230155.53434443424</v>
      </c>
      <c r="O14" s="8">
        <f t="shared" si="8"/>
        <v>363226.89385327202</v>
      </c>
    </row>
    <row r="15" spans="1:15" x14ac:dyDescent="0.3">
      <c r="F15">
        <v>13</v>
      </c>
      <c r="G15" s="8">
        <f t="shared" ca="1" si="9"/>
        <v>155231.40460311671</v>
      </c>
      <c r="H15" s="8">
        <f t="shared" ca="1" si="10"/>
        <v>254155.53434443424</v>
      </c>
      <c r="I15" s="8">
        <f t="shared" si="11"/>
        <v>400426.89385327202</v>
      </c>
      <c r="J15" s="8">
        <f t="shared" ca="1" si="3"/>
        <v>9313.8842761870037</v>
      </c>
      <c r="K15" s="8">
        <f t="shared" ca="1" si="4"/>
        <v>12707.776717221712</v>
      </c>
      <c r="L15" s="8">
        <f t="shared" si="5"/>
        <v>-8008.5378770654406</v>
      </c>
      <c r="M15" s="8">
        <f t="shared" ca="1" si="6"/>
        <v>164545.28887930373</v>
      </c>
      <c r="N15" s="8">
        <f t="shared" ca="1" si="7"/>
        <v>266863.31106165593</v>
      </c>
      <c r="O15" s="8">
        <f t="shared" si="8"/>
        <v>392418.3559762066</v>
      </c>
    </row>
    <row r="16" spans="1:15" x14ac:dyDescent="0.3">
      <c r="F16">
        <v>14</v>
      </c>
      <c r="G16" s="8">
        <f t="shared" ca="1" si="9"/>
        <v>177745.28887930373</v>
      </c>
      <c r="H16" s="8">
        <f t="shared" ca="1" si="10"/>
        <v>290863.31106165593</v>
      </c>
      <c r="I16" s="8">
        <f t="shared" si="11"/>
        <v>429618.3559762066</v>
      </c>
      <c r="J16" s="8">
        <f t="shared" ca="1" si="3"/>
        <v>5332.358666379112</v>
      </c>
      <c r="K16" s="8">
        <f t="shared" ca="1" si="4"/>
        <v>8725.8993318496778</v>
      </c>
      <c r="L16" s="8">
        <f t="shared" si="5"/>
        <v>-8592.3671195241313</v>
      </c>
      <c r="M16" s="8">
        <f t="shared" ca="1" si="6"/>
        <v>183077.64754568285</v>
      </c>
      <c r="N16" s="8">
        <f t="shared" ca="1" si="7"/>
        <v>299589.21039350558</v>
      </c>
      <c r="O16" s="8">
        <f t="shared" si="8"/>
        <v>421025.9888566825</v>
      </c>
    </row>
    <row r="17" spans="3:15" x14ac:dyDescent="0.3">
      <c r="F17">
        <v>15</v>
      </c>
      <c r="G17" s="8">
        <f t="shared" ca="1" si="9"/>
        <v>196277.64754568285</v>
      </c>
      <c r="H17" s="8">
        <f t="shared" ca="1" si="10"/>
        <v>323589.21039350558</v>
      </c>
      <c r="I17" s="8">
        <f t="shared" si="11"/>
        <v>458225.9888566825</v>
      </c>
      <c r="J17" s="8">
        <f t="shared" ca="1" si="3"/>
        <v>17664.988279111454</v>
      </c>
      <c r="K17" s="8">
        <f t="shared" ca="1" si="4"/>
        <v>-16179.46051967528</v>
      </c>
      <c r="L17" s="8">
        <f t="shared" si="5"/>
        <v>-9164.5197771336498</v>
      </c>
      <c r="M17" s="8">
        <f t="shared" ca="1" si="6"/>
        <v>213942.6358247943</v>
      </c>
      <c r="N17" s="8">
        <f t="shared" ca="1" si="7"/>
        <v>307409.7498738303</v>
      </c>
      <c r="O17" s="8">
        <f t="shared" si="8"/>
        <v>449061.46907954884</v>
      </c>
    </row>
    <row r="18" spans="3:15" x14ac:dyDescent="0.3">
      <c r="F18">
        <v>16</v>
      </c>
      <c r="G18" s="8">
        <f t="shared" ca="1" si="9"/>
        <v>227142.6358247943</v>
      </c>
      <c r="H18" s="8">
        <f t="shared" ca="1" si="10"/>
        <v>331409.7498738303</v>
      </c>
      <c r="I18" s="8">
        <f t="shared" si="11"/>
        <v>486261.46907954884</v>
      </c>
      <c r="J18" s="8">
        <f t="shared" ca="1" si="3"/>
        <v>-6814.2790747438294</v>
      </c>
      <c r="K18" s="8">
        <f t="shared" ca="1" si="4"/>
        <v>33140.97498738303</v>
      </c>
      <c r="L18" s="8">
        <f t="shared" si="5"/>
        <v>-9725.2293815909779</v>
      </c>
      <c r="M18" s="8">
        <f t="shared" ca="1" si="6"/>
        <v>220328.35675005047</v>
      </c>
      <c r="N18" s="8">
        <f t="shared" ca="1" si="7"/>
        <v>364550.72486121336</v>
      </c>
      <c r="O18" s="8">
        <f t="shared" si="8"/>
        <v>476536.23969795788</v>
      </c>
    </row>
    <row r="19" spans="3:15" x14ac:dyDescent="0.3">
      <c r="F19">
        <v>17</v>
      </c>
      <c r="G19" s="8">
        <f t="shared" ca="1" si="9"/>
        <v>233528.35675005047</v>
      </c>
      <c r="H19" s="8">
        <f t="shared" ca="1" si="10"/>
        <v>388550.72486121336</v>
      </c>
      <c r="I19" s="8">
        <f t="shared" si="11"/>
        <v>513736.23969795788</v>
      </c>
      <c r="J19" s="8">
        <f t="shared" ca="1" si="3"/>
        <v>-21017.55210750454</v>
      </c>
      <c r="K19" s="8">
        <f t="shared" ca="1" si="4"/>
        <v>38855.072486121338</v>
      </c>
      <c r="L19" s="8">
        <f t="shared" si="5"/>
        <v>-10274.724793959158</v>
      </c>
      <c r="M19" s="8">
        <f t="shared" ca="1" si="6"/>
        <v>212510.80464254593</v>
      </c>
      <c r="N19" s="8">
        <f t="shared" ca="1" si="7"/>
        <v>427405.79734733468</v>
      </c>
      <c r="O19" s="8">
        <f t="shared" si="8"/>
        <v>503461.5149039987</v>
      </c>
    </row>
    <row r="20" spans="3:15" x14ac:dyDescent="0.3">
      <c r="F20">
        <v>18</v>
      </c>
      <c r="G20" s="8">
        <f t="shared" ca="1" si="9"/>
        <v>225710.80464254593</v>
      </c>
      <c r="H20" s="8">
        <f t="shared" ca="1" si="10"/>
        <v>451405.79734733468</v>
      </c>
      <c r="I20" s="8">
        <f t="shared" si="11"/>
        <v>540661.5149039987</v>
      </c>
      <c r="J20" s="8">
        <f t="shared" ca="1" si="3"/>
        <v>-2257.1080464254592</v>
      </c>
      <c r="K20" s="8">
        <f t="shared" ca="1" si="4"/>
        <v>-40626.521761260119</v>
      </c>
      <c r="L20" s="8">
        <f t="shared" si="5"/>
        <v>-10813.230298079974</v>
      </c>
      <c r="M20" s="8">
        <f t="shared" ca="1" si="6"/>
        <v>223453.69659612048</v>
      </c>
      <c r="N20" s="8">
        <f t="shared" ca="1" si="7"/>
        <v>410779.27558607457</v>
      </c>
      <c r="O20" s="8">
        <f t="shared" si="8"/>
        <v>529848.28460591868</v>
      </c>
    </row>
    <row r="21" spans="3:15" x14ac:dyDescent="0.3">
      <c r="F21">
        <v>19</v>
      </c>
      <c r="G21" s="8">
        <f t="shared" ca="1" si="9"/>
        <v>236653.69659612048</v>
      </c>
      <c r="H21" s="8">
        <f t="shared" ca="1" si="10"/>
        <v>434779.27558607457</v>
      </c>
      <c r="I21" s="8">
        <f t="shared" si="11"/>
        <v>567048.28460591868</v>
      </c>
      <c r="J21" s="8">
        <f t="shared" ca="1" si="3"/>
        <v>-2366.5369659612047</v>
      </c>
      <c r="K21" s="8">
        <f t="shared" ca="1" si="4"/>
        <v>-26086.756535164473</v>
      </c>
      <c r="L21" s="8">
        <f t="shared" si="5"/>
        <v>-11340.965692118374</v>
      </c>
      <c r="M21" s="8">
        <f t="shared" ca="1" si="6"/>
        <v>234287.15963015927</v>
      </c>
      <c r="N21" s="8">
        <f t="shared" ca="1" si="7"/>
        <v>408692.51905091008</v>
      </c>
      <c r="O21" s="8">
        <f t="shared" si="8"/>
        <v>555707.31891380029</v>
      </c>
    </row>
    <row r="22" spans="3:15" x14ac:dyDescent="0.3">
      <c r="F22">
        <v>20</v>
      </c>
      <c r="G22" s="8">
        <f t="shared" ca="1" si="9"/>
        <v>247487.15963015927</v>
      </c>
      <c r="H22" s="8">
        <f t="shared" ca="1" si="10"/>
        <v>432692.51905091008</v>
      </c>
      <c r="I22" s="8">
        <f t="shared" si="11"/>
        <v>592907.31891380029</v>
      </c>
      <c r="J22" s="8">
        <f t="shared" ca="1" si="3"/>
        <v>-4949.743192603185</v>
      </c>
      <c r="K22" s="8">
        <f t="shared" ca="1" si="4"/>
        <v>17307.700762036402</v>
      </c>
      <c r="L22" s="8">
        <f t="shared" si="5"/>
        <v>-11858.146378276006</v>
      </c>
      <c r="M22" s="8">
        <f t="shared" ca="1" si="6"/>
        <v>242537.41643755609</v>
      </c>
      <c r="N22" s="8">
        <f t="shared" ca="1" si="7"/>
        <v>450000.21981294651</v>
      </c>
      <c r="O22" s="8">
        <f t="shared" si="8"/>
        <v>581049.17253552424</v>
      </c>
    </row>
    <row r="23" spans="3:15" x14ac:dyDescent="0.3">
      <c r="F23">
        <v>21</v>
      </c>
      <c r="G23" s="8">
        <f t="shared" ca="1" si="9"/>
        <v>255737.41643755609</v>
      </c>
      <c r="H23" s="8">
        <f t="shared" ca="1" si="10"/>
        <v>474000.21981294651</v>
      </c>
      <c r="I23" s="8">
        <f t="shared" si="11"/>
        <v>618249.17253552424</v>
      </c>
      <c r="J23" s="8">
        <f t="shared" ca="1" si="3"/>
        <v>-2557.3741643755611</v>
      </c>
      <c r="K23" s="8">
        <f t="shared" ca="1" si="4"/>
        <v>-9480.0043962589298</v>
      </c>
      <c r="L23" s="8">
        <f t="shared" si="5"/>
        <v>-12364.983450710484</v>
      </c>
      <c r="M23" s="8">
        <f t="shared" ca="1" si="6"/>
        <v>253180.04227318053</v>
      </c>
      <c r="N23" s="8">
        <f t="shared" ca="1" si="7"/>
        <v>464520.2154166876</v>
      </c>
      <c r="O23" s="8">
        <f t="shared" si="8"/>
        <v>605884.1890848137</v>
      </c>
    </row>
    <row r="25" spans="3:15" x14ac:dyDescent="0.3">
      <c r="D25" t="s">
        <v>38</v>
      </c>
      <c r="E25" t="s">
        <v>570</v>
      </c>
      <c r="F25" t="s">
        <v>569</v>
      </c>
    </row>
    <row r="26" spans="3:15" x14ac:dyDescent="0.3">
      <c r="C26" t="s">
        <v>576</v>
      </c>
      <c r="D26">
        <v>5000</v>
      </c>
      <c r="E26">
        <v>5000</v>
      </c>
      <c r="F26">
        <v>5000</v>
      </c>
    </row>
    <row r="27" spans="3:15" x14ac:dyDescent="0.3">
      <c r="C27" t="s">
        <v>578</v>
      </c>
      <c r="D27">
        <v>2400</v>
      </c>
      <c r="E27">
        <v>1500</v>
      </c>
      <c r="F27">
        <v>400</v>
      </c>
    </row>
    <row r="28" spans="3:15" x14ac:dyDescent="0.3">
      <c r="C28" t="s">
        <v>579</v>
      </c>
      <c r="D28">
        <v>1500</v>
      </c>
      <c r="E28">
        <v>1500</v>
      </c>
      <c r="F28">
        <v>1500</v>
      </c>
    </row>
    <row r="29" spans="3:15" x14ac:dyDescent="0.3">
      <c r="C29" t="s">
        <v>577</v>
      </c>
      <c r="D29">
        <f>D26-D27-D28</f>
        <v>1100</v>
      </c>
      <c r="E29">
        <f t="shared" ref="E29:F29" si="12">E26-E27-E28</f>
        <v>2000</v>
      </c>
      <c r="F29">
        <f t="shared" si="12"/>
        <v>3100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D64B-CCCA-460A-AC8A-C8D228F5E105}">
  <dimension ref="A1:N83"/>
  <sheetViews>
    <sheetView workbookViewId="0"/>
  </sheetViews>
  <sheetFormatPr defaultRowHeight="16.5" x14ac:dyDescent="0.3"/>
  <cols>
    <col min="1" max="1" width="7.375" bestFit="1" customWidth="1"/>
    <col min="2" max="2" width="33.625" bestFit="1" customWidth="1"/>
    <col min="3" max="3" width="28.625" bestFit="1" customWidth="1"/>
    <col min="4" max="4" width="16.125" bestFit="1" customWidth="1"/>
    <col min="5" max="5" width="63.375" customWidth="1"/>
    <col min="6" max="8" width="10" bestFit="1" customWidth="1"/>
    <col min="9" max="10" width="7.375" bestFit="1" customWidth="1"/>
    <col min="11" max="11" width="5.5" bestFit="1" customWidth="1"/>
    <col min="12" max="12" width="10.5" bestFit="1" customWidth="1"/>
    <col min="13" max="13" width="7.375" bestFit="1" customWidth="1"/>
  </cols>
  <sheetData>
    <row r="1" spans="1:14" s="30" customFormat="1" x14ac:dyDescent="0.3">
      <c r="A1" s="30" t="s">
        <v>584</v>
      </c>
      <c r="B1" s="30" t="s">
        <v>585</v>
      </c>
      <c r="C1" s="30" t="s">
        <v>586</v>
      </c>
      <c r="D1" s="30" t="s">
        <v>5</v>
      </c>
      <c r="E1" s="30" t="s">
        <v>587</v>
      </c>
      <c r="F1" s="30" t="s">
        <v>588</v>
      </c>
      <c r="G1" s="30" t="s">
        <v>589</v>
      </c>
      <c r="H1" s="30" t="s">
        <v>590</v>
      </c>
      <c r="I1" s="30" t="s">
        <v>591</v>
      </c>
      <c r="J1" s="30" t="s">
        <v>592</v>
      </c>
      <c r="K1" s="30" t="s">
        <v>593</v>
      </c>
      <c r="L1" s="30" t="s">
        <v>594</v>
      </c>
      <c r="M1" s="30" t="s">
        <v>595</v>
      </c>
      <c r="N1" s="30" t="s">
        <v>805</v>
      </c>
    </row>
    <row r="2" spans="1:14" x14ac:dyDescent="0.3">
      <c r="A2" t="s">
        <v>596</v>
      </c>
      <c r="B2" t="s">
        <v>597</v>
      </c>
      <c r="C2" t="s">
        <v>598</v>
      </c>
      <c r="D2" t="s">
        <v>16</v>
      </c>
      <c r="E2" t="s">
        <v>599</v>
      </c>
      <c r="F2">
        <v>0</v>
      </c>
      <c r="G2">
        <v>150000</v>
      </c>
      <c r="H2">
        <v>150000</v>
      </c>
      <c r="I2" t="s">
        <v>191</v>
      </c>
      <c r="J2" t="s">
        <v>191</v>
      </c>
      <c r="K2" t="s">
        <v>191</v>
      </c>
      <c r="L2" t="s">
        <v>191</v>
      </c>
      <c r="M2" t="s">
        <v>191</v>
      </c>
      <c r="N2" t="s">
        <v>806</v>
      </c>
    </row>
    <row r="3" spans="1:14" x14ac:dyDescent="0.3">
      <c r="A3" t="s">
        <v>596</v>
      </c>
      <c r="B3" t="s">
        <v>600</v>
      </c>
      <c r="C3" t="s">
        <v>786</v>
      </c>
      <c r="D3" t="s">
        <v>20</v>
      </c>
      <c r="E3" t="s">
        <v>732</v>
      </c>
      <c r="F3">
        <v>30000</v>
      </c>
      <c r="G3">
        <v>150000</v>
      </c>
      <c r="H3">
        <v>150000</v>
      </c>
      <c r="I3" t="s">
        <v>191</v>
      </c>
      <c r="J3" t="s">
        <v>191</v>
      </c>
      <c r="K3" t="s">
        <v>191</v>
      </c>
      <c r="L3" t="s">
        <v>191</v>
      </c>
      <c r="M3" t="s">
        <v>191</v>
      </c>
    </row>
    <row r="4" spans="1:14" x14ac:dyDescent="0.3">
      <c r="A4" t="s">
        <v>596</v>
      </c>
      <c r="B4" t="s">
        <v>601</v>
      </c>
      <c r="C4" t="s">
        <v>602</v>
      </c>
      <c r="D4" t="s">
        <v>25</v>
      </c>
      <c r="E4" t="s">
        <v>733</v>
      </c>
      <c r="F4">
        <v>5000</v>
      </c>
      <c r="G4">
        <v>60000</v>
      </c>
      <c r="H4">
        <v>30000</v>
      </c>
      <c r="I4" t="s">
        <v>191</v>
      </c>
      <c r="J4" t="s">
        <v>191</v>
      </c>
      <c r="K4" t="s">
        <v>191</v>
      </c>
      <c r="L4" t="s">
        <v>191</v>
      </c>
      <c r="M4" t="s">
        <v>191</v>
      </c>
    </row>
    <row r="5" spans="1:14" x14ac:dyDescent="0.3">
      <c r="A5" t="s">
        <v>596</v>
      </c>
      <c r="B5" t="s">
        <v>601</v>
      </c>
      <c r="C5" t="s">
        <v>808</v>
      </c>
      <c r="D5" t="s">
        <v>63</v>
      </c>
      <c r="E5" t="s">
        <v>807</v>
      </c>
      <c r="F5">
        <f>19800/12/10</f>
        <v>165</v>
      </c>
      <c r="G5" s="8">
        <f>250000/12/2</f>
        <v>10416.666666666666</v>
      </c>
      <c r="H5">
        <f>160000/12/2</f>
        <v>6666.666666666667</v>
      </c>
      <c r="I5" t="s">
        <v>191</v>
      </c>
      <c r="J5" t="s">
        <v>191</v>
      </c>
      <c r="K5" t="s">
        <v>191</v>
      </c>
      <c r="L5" t="s">
        <v>191</v>
      </c>
      <c r="M5" t="s">
        <v>191</v>
      </c>
      <c r="N5" t="s">
        <v>809</v>
      </c>
    </row>
    <row r="6" spans="1:14" x14ac:dyDescent="0.3">
      <c r="A6" t="s">
        <v>596</v>
      </c>
      <c r="B6" t="s">
        <v>603</v>
      </c>
      <c r="C6" t="s">
        <v>63</v>
      </c>
      <c r="D6" t="s">
        <v>63</v>
      </c>
      <c r="E6" t="s">
        <v>604</v>
      </c>
      <c r="F6">
        <v>2167</v>
      </c>
      <c r="G6">
        <v>40000</v>
      </c>
      <c r="H6">
        <v>10000</v>
      </c>
      <c r="I6" t="s">
        <v>191</v>
      </c>
      <c r="J6" t="s">
        <v>191</v>
      </c>
      <c r="K6" t="s">
        <v>191</v>
      </c>
      <c r="L6" t="s">
        <v>191</v>
      </c>
      <c r="M6" t="s">
        <v>191</v>
      </c>
    </row>
    <row r="7" spans="1:14" x14ac:dyDescent="0.3">
      <c r="A7" t="s">
        <v>596</v>
      </c>
      <c r="B7" t="s">
        <v>605</v>
      </c>
      <c r="C7" t="s">
        <v>111</v>
      </c>
      <c r="D7" t="s">
        <v>111</v>
      </c>
      <c r="E7" t="s">
        <v>734</v>
      </c>
      <c r="F7">
        <v>11625</v>
      </c>
      <c r="G7">
        <v>45000</v>
      </c>
      <c r="H7">
        <v>20000</v>
      </c>
      <c r="I7" t="s">
        <v>191</v>
      </c>
      <c r="J7" t="s">
        <v>191</v>
      </c>
      <c r="K7" t="s">
        <v>191</v>
      </c>
      <c r="L7" t="s">
        <v>191</v>
      </c>
      <c r="M7" t="s">
        <v>191</v>
      </c>
    </row>
    <row r="8" spans="1:14" x14ac:dyDescent="0.3">
      <c r="A8" t="s">
        <v>596</v>
      </c>
      <c r="B8" t="s">
        <v>606</v>
      </c>
      <c r="C8" t="s">
        <v>63</v>
      </c>
      <c r="D8" t="s">
        <v>63</v>
      </c>
      <c r="E8" t="s">
        <v>607</v>
      </c>
      <c r="F8">
        <v>625</v>
      </c>
      <c r="G8">
        <v>20000</v>
      </c>
      <c r="H8">
        <v>10000</v>
      </c>
      <c r="I8" t="s">
        <v>191</v>
      </c>
      <c r="J8" t="s">
        <v>191</v>
      </c>
      <c r="K8" t="s">
        <v>191</v>
      </c>
      <c r="L8" t="s">
        <v>191</v>
      </c>
      <c r="M8" t="s">
        <v>191</v>
      </c>
    </row>
    <row r="9" spans="1:14" x14ac:dyDescent="0.3">
      <c r="A9" t="s">
        <v>596</v>
      </c>
      <c r="B9" t="s">
        <v>608</v>
      </c>
      <c r="C9" t="s">
        <v>36</v>
      </c>
      <c r="D9" t="s">
        <v>36</v>
      </c>
      <c r="E9" t="s">
        <v>609</v>
      </c>
      <c r="F9">
        <v>200</v>
      </c>
      <c r="G9">
        <v>1000</v>
      </c>
      <c r="H9">
        <v>0</v>
      </c>
      <c r="I9" t="s">
        <v>191</v>
      </c>
      <c r="J9" t="s">
        <v>191</v>
      </c>
      <c r="K9" t="s">
        <v>191</v>
      </c>
      <c r="L9" t="s">
        <v>191</v>
      </c>
      <c r="M9" t="s">
        <v>191</v>
      </c>
    </row>
    <row r="10" spans="1:14" x14ac:dyDescent="0.3">
      <c r="A10" t="s">
        <v>596</v>
      </c>
      <c r="B10" t="s">
        <v>610</v>
      </c>
      <c r="C10" t="s">
        <v>611</v>
      </c>
      <c r="D10" t="s">
        <v>123</v>
      </c>
      <c r="E10" t="s">
        <v>612</v>
      </c>
      <c r="F10">
        <v>3000</v>
      </c>
      <c r="G10">
        <v>15000</v>
      </c>
      <c r="H10">
        <v>3000</v>
      </c>
      <c r="I10" t="s">
        <v>191</v>
      </c>
      <c r="J10" t="s">
        <v>191</v>
      </c>
      <c r="K10" t="s">
        <v>191</v>
      </c>
      <c r="L10" t="s">
        <v>191</v>
      </c>
      <c r="M10" t="s">
        <v>191</v>
      </c>
    </row>
    <row r="11" spans="1:14" x14ac:dyDescent="0.3">
      <c r="A11" t="s">
        <v>596</v>
      </c>
      <c r="B11" t="s">
        <v>613</v>
      </c>
      <c r="C11" t="s">
        <v>614</v>
      </c>
      <c r="D11" t="s">
        <v>111</v>
      </c>
      <c r="E11" t="s">
        <v>615</v>
      </c>
      <c r="F11">
        <v>3000</v>
      </c>
      <c r="G11">
        <v>20000</v>
      </c>
      <c r="H11">
        <v>3000</v>
      </c>
      <c r="I11" t="s">
        <v>191</v>
      </c>
      <c r="J11" t="s">
        <v>191</v>
      </c>
      <c r="K11" t="s">
        <v>191</v>
      </c>
      <c r="L11" t="s">
        <v>191</v>
      </c>
      <c r="M11" t="s">
        <v>191</v>
      </c>
    </row>
    <row r="12" spans="1:14" x14ac:dyDescent="0.3">
      <c r="A12" t="s">
        <v>596</v>
      </c>
      <c r="B12" t="s">
        <v>616</v>
      </c>
      <c r="C12" t="s">
        <v>617</v>
      </c>
      <c r="D12" t="s">
        <v>123</v>
      </c>
      <c r="E12" t="s">
        <v>735</v>
      </c>
      <c r="F12">
        <v>1000</v>
      </c>
      <c r="G12">
        <v>8333</v>
      </c>
      <c r="H12">
        <v>1000</v>
      </c>
      <c r="I12" t="s">
        <v>191</v>
      </c>
      <c r="J12" t="s">
        <v>191</v>
      </c>
      <c r="K12" t="s">
        <v>191</v>
      </c>
      <c r="L12" t="s">
        <v>191</v>
      </c>
      <c r="M12" t="s">
        <v>191</v>
      </c>
    </row>
    <row r="13" spans="1:14" x14ac:dyDescent="0.3">
      <c r="A13" t="s">
        <v>596</v>
      </c>
      <c r="B13" t="s">
        <v>618</v>
      </c>
      <c r="C13" t="s">
        <v>736</v>
      </c>
      <c r="D13" t="s">
        <v>63</v>
      </c>
      <c r="E13" t="s">
        <v>787</v>
      </c>
      <c r="F13">
        <v>15000</v>
      </c>
      <c r="G13">
        <v>80000</v>
      </c>
      <c r="H13">
        <v>40000</v>
      </c>
      <c r="I13" t="s">
        <v>191</v>
      </c>
      <c r="J13" t="s">
        <v>191</v>
      </c>
      <c r="K13" t="s">
        <v>191</v>
      </c>
      <c r="L13" t="s">
        <v>191</v>
      </c>
      <c r="M13" t="s">
        <v>191</v>
      </c>
    </row>
    <row r="14" spans="1:14" x14ac:dyDescent="0.3">
      <c r="A14" t="s">
        <v>596</v>
      </c>
      <c r="B14" t="s">
        <v>619</v>
      </c>
      <c r="C14" t="s">
        <v>81</v>
      </c>
      <c r="D14" t="s">
        <v>81</v>
      </c>
      <c r="E14" t="s">
        <v>788</v>
      </c>
      <c r="F14">
        <v>5000</v>
      </c>
      <c r="G14">
        <v>30000</v>
      </c>
      <c r="H14">
        <v>15000</v>
      </c>
      <c r="I14" t="s">
        <v>191</v>
      </c>
      <c r="J14" t="s">
        <v>191</v>
      </c>
      <c r="K14" t="s">
        <v>191</v>
      </c>
      <c r="L14" t="s">
        <v>191</v>
      </c>
      <c r="M14" t="s">
        <v>191</v>
      </c>
    </row>
    <row r="15" spans="1:14" x14ac:dyDescent="0.3">
      <c r="A15" t="s">
        <v>596</v>
      </c>
      <c r="B15" t="s">
        <v>737</v>
      </c>
      <c r="C15" t="s">
        <v>63</v>
      </c>
      <c r="D15" t="s">
        <v>63</v>
      </c>
      <c r="E15" t="s">
        <v>738</v>
      </c>
      <c r="F15">
        <v>15000</v>
      </c>
      <c r="G15">
        <v>80000</v>
      </c>
      <c r="H15">
        <v>30000</v>
      </c>
      <c r="I15" t="s">
        <v>191</v>
      </c>
      <c r="J15" t="s">
        <v>191</v>
      </c>
      <c r="K15" t="s">
        <v>191</v>
      </c>
      <c r="L15" t="s">
        <v>191</v>
      </c>
      <c r="M15" t="s">
        <v>191</v>
      </c>
    </row>
    <row r="16" spans="1:14" x14ac:dyDescent="0.3">
      <c r="A16" t="s">
        <v>596</v>
      </c>
      <c r="B16" t="s">
        <v>620</v>
      </c>
      <c r="C16" t="s">
        <v>739</v>
      </c>
      <c r="D16" t="s">
        <v>63</v>
      </c>
      <c r="E16" t="s">
        <v>789</v>
      </c>
      <c r="F16">
        <v>5000</v>
      </c>
      <c r="G16">
        <v>50000</v>
      </c>
      <c r="H16">
        <v>20000</v>
      </c>
      <c r="I16" t="s">
        <v>191</v>
      </c>
      <c r="J16" t="s">
        <v>191</v>
      </c>
      <c r="K16" t="s">
        <v>191</v>
      </c>
      <c r="L16" t="s">
        <v>191</v>
      </c>
      <c r="M16" t="s">
        <v>191</v>
      </c>
    </row>
    <row r="17" spans="1:13" x14ac:dyDescent="0.3">
      <c r="A17" t="s">
        <v>621</v>
      </c>
      <c r="B17" t="s">
        <v>623</v>
      </c>
      <c r="C17" t="s">
        <v>740</v>
      </c>
      <c r="D17" t="s">
        <v>63</v>
      </c>
      <c r="E17" t="s">
        <v>790</v>
      </c>
      <c r="F17">
        <v>30000</v>
      </c>
      <c r="G17">
        <v>80000</v>
      </c>
      <c r="H17">
        <v>60000</v>
      </c>
      <c r="I17" t="s">
        <v>191</v>
      </c>
      <c r="J17" t="s">
        <v>191</v>
      </c>
      <c r="K17" t="s">
        <v>191</v>
      </c>
      <c r="L17" t="s">
        <v>191</v>
      </c>
      <c r="M17" t="s">
        <v>622</v>
      </c>
    </row>
    <row r="18" spans="1:13" x14ac:dyDescent="0.3">
      <c r="A18" t="s">
        <v>182</v>
      </c>
      <c r="B18" t="s">
        <v>625</v>
      </c>
      <c r="C18" t="s">
        <v>741</v>
      </c>
      <c r="D18" t="s">
        <v>25</v>
      </c>
      <c r="E18" t="s">
        <v>791</v>
      </c>
      <c r="F18">
        <v>20000</v>
      </c>
      <c r="G18">
        <v>100000</v>
      </c>
      <c r="H18">
        <v>60000</v>
      </c>
      <c r="I18" t="s">
        <v>191</v>
      </c>
      <c r="J18" t="s">
        <v>191</v>
      </c>
      <c r="K18" t="s">
        <v>191</v>
      </c>
      <c r="L18" t="s">
        <v>191</v>
      </c>
      <c r="M18" t="s">
        <v>191</v>
      </c>
    </row>
    <row r="19" spans="1:13" x14ac:dyDescent="0.3">
      <c r="A19" t="s">
        <v>182</v>
      </c>
      <c r="B19" t="s">
        <v>626</v>
      </c>
      <c r="C19" t="s">
        <v>627</v>
      </c>
      <c r="D19" t="s">
        <v>63</v>
      </c>
      <c r="E19" t="s">
        <v>742</v>
      </c>
      <c r="F19">
        <v>1667</v>
      </c>
      <c r="G19">
        <v>15000</v>
      </c>
      <c r="H19">
        <v>5000</v>
      </c>
      <c r="I19" t="s">
        <v>191</v>
      </c>
      <c r="J19" t="s">
        <v>191</v>
      </c>
      <c r="K19" t="s">
        <v>191</v>
      </c>
      <c r="L19" t="s">
        <v>191</v>
      </c>
      <c r="M19" t="s">
        <v>191</v>
      </c>
    </row>
    <row r="20" spans="1:13" x14ac:dyDescent="0.3">
      <c r="A20" t="s">
        <v>182</v>
      </c>
      <c r="B20" t="s">
        <v>628</v>
      </c>
      <c r="C20" t="s">
        <v>629</v>
      </c>
      <c r="D20" t="s">
        <v>123</v>
      </c>
      <c r="E20" t="s">
        <v>630</v>
      </c>
      <c r="F20">
        <v>500</v>
      </c>
      <c r="G20">
        <v>5000</v>
      </c>
      <c r="H20">
        <v>3000</v>
      </c>
      <c r="I20" t="s">
        <v>191</v>
      </c>
      <c r="J20" t="s">
        <v>191</v>
      </c>
      <c r="K20" t="s">
        <v>191</v>
      </c>
      <c r="L20" t="s">
        <v>191</v>
      </c>
      <c r="M20" t="s">
        <v>191</v>
      </c>
    </row>
    <row r="21" spans="1:13" x14ac:dyDescent="0.3">
      <c r="A21" t="s">
        <v>182</v>
      </c>
      <c r="B21" t="s">
        <v>631</v>
      </c>
      <c r="C21" t="s">
        <v>632</v>
      </c>
      <c r="D21" t="s">
        <v>104</v>
      </c>
      <c r="E21" t="s">
        <v>633</v>
      </c>
      <c r="F21">
        <v>0</v>
      </c>
      <c r="G21">
        <v>10000</v>
      </c>
      <c r="H21">
        <v>10000</v>
      </c>
      <c r="I21" t="s">
        <v>191</v>
      </c>
      <c r="J21" t="s">
        <v>191</v>
      </c>
      <c r="K21" t="s">
        <v>191</v>
      </c>
      <c r="L21" t="s">
        <v>191</v>
      </c>
      <c r="M21" t="s">
        <v>191</v>
      </c>
    </row>
    <row r="22" spans="1:13" x14ac:dyDescent="0.3">
      <c r="A22" t="s">
        <v>182</v>
      </c>
      <c r="B22" t="s">
        <v>634</v>
      </c>
      <c r="C22" t="s">
        <v>743</v>
      </c>
      <c r="D22" t="s">
        <v>20</v>
      </c>
      <c r="E22" t="s">
        <v>792</v>
      </c>
      <c r="F22">
        <v>100000</v>
      </c>
      <c r="G22">
        <v>300000</v>
      </c>
      <c r="H22">
        <v>150000</v>
      </c>
      <c r="I22" t="s">
        <v>191</v>
      </c>
      <c r="J22" t="s">
        <v>191</v>
      </c>
      <c r="K22" t="s">
        <v>191</v>
      </c>
      <c r="L22" t="s">
        <v>191</v>
      </c>
      <c r="M22" t="s">
        <v>191</v>
      </c>
    </row>
    <row r="23" spans="1:13" x14ac:dyDescent="0.3">
      <c r="A23" t="s">
        <v>182</v>
      </c>
      <c r="B23" t="s">
        <v>635</v>
      </c>
      <c r="C23" t="s">
        <v>744</v>
      </c>
      <c r="D23" t="s">
        <v>20</v>
      </c>
      <c r="E23" t="s">
        <v>793</v>
      </c>
      <c r="F23">
        <v>0</v>
      </c>
      <c r="G23">
        <v>100000</v>
      </c>
      <c r="H23">
        <v>30000</v>
      </c>
      <c r="I23" t="s">
        <v>191</v>
      </c>
      <c r="J23" t="s">
        <v>191</v>
      </c>
      <c r="K23" t="s">
        <v>191</v>
      </c>
      <c r="L23" t="s">
        <v>622</v>
      </c>
      <c r="M23" t="s">
        <v>191</v>
      </c>
    </row>
    <row r="24" spans="1:13" x14ac:dyDescent="0.3">
      <c r="A24" t="s">
        <v>182</v>
      </c>
      <c r="B24" t="s">
        <v>636</v>
      </c>
      <c r="C24" t="s">
        <v>745</v>
      </c>
      <c r="D24" t="s">
        <v>63</v>
      </c>
      <c r="E24" t="s">
        <v>794</v>
      </c>
      <c r="F24">
        <v>15000</v>
      </c>
      <c r="G24">
        <v>60000</v>
      </c>
      <c r="H24">
        <v>30000</v>
      </c>
      <c r="I24" t="s">
        <v>191</v>
      </c>
      <c r="J24" t="s">
        <v>191</v>
      </c>
      <c r="K24" t="s">
        <v>191</v>
      </c>
      <c r="L24" t="s">
        <v>622</v>
      </c>
      <c r="M24" t="s">
        <v>191</v>
      </c>
    </row>
    <row r="25" spans="1:13" x14ac:dyDescent="0.3">
      <c r="A25" t="s">
        <v>187</v>
      </c>
      <c r="B25" t="s">
        <v>637</v>
      </c>
      <c r="C25" t="s">
        <v>638</v>
      </c>
      <c r="D25" t="s">
        <v>91</v>
      </c>
      <c r="E25" t="s">
        <v>810</v>
      </c>
      <c r="F25">
        <v>3000</v>
      </c>
      <c r="G25">
        <v>20000</v>
      </c>
      <c r="H25">
        <v>10000</v>
      </c>
      <c r="I25" t="s">
        <v>191</v>
      </c>
    </row>
    <row r="26" spans="1:13" x14ac:dyDescent="0.3">
      <c r="A26" t="s">
        <v>187</v>
      </c>
      <c r="B26" t="s">
        <v>639</v>
      </c>
      <c r="C26" t="s">
        <v>640</v>
      </c>
      <c r="D26" t="s">
        <v>63</v>
      </c>
      <c r="E26" t="s">
        <v>641</v>
      </c>
      <c r="F26">
        <v>8333</v>
      </c>
      <c r="G26">
        <v>33333</v>
      </c>
      <c r="H26">
        <v>15000</v>
      </c>
      <c r="I26" t="s">
        <v>191</v>
      </c>
      <c r="J26" t="s">
        <v>191</v>
      </c>
      <c r="K26" t="s">
        <v>191</v>
      </c>
      <c r="L26" t="s">
        <v>191</v>
      </c>
      <c r="M26" t="s">
        <v>191</v>
      </c>
    </row>
    <row r="27" spans="1:13" x14ac:dyDescent="0.3">
      <c r="A27" t="s">
        <v>187</v>
      </c>
      <c r="B27" t="s">
        <v>642</v>
      </c>
      <c r="C27" t="s">
        <v>643</v>
      </c>
      <c r="D27" t="s">
        <v>123</v>
      </c>
      <c r="E27" t="s">
        <v>746</v>
      </c>
      <c r="F27">
        <v>7167</v>
      </c>
      <c r="G27">
        <v>16667</v>
      </c>
      <c r="H27">
        <v>10000</v>
      </c>
      <c r="I27" t="s">
        <v>191</v>
      </c>
      <c r="J27" t="s">
        <v>191</v>
      </c>
      <c r="K27" t="s">
        <v>191</v>
      </c>
      <c r="L27" t="s">
        <v>191</v>
      </c>
      <c r="M27" t="s">
        <v>191</v>
      </c>
    </row>
    <row r="28" spans="1:13" x14ac:dyDescent="0.3">
      <c r="A28" t="s">
        <v>187</v>
      </c>
      <c r="B28" t="s">
        <v>644</v>
      </c>
      <c r="C28" t="s">
        <v>123</v>
      </c>
      <c r="D28" t="s">
        <v>123</v>
      </c>
      <c r="E28" t="s">
        <v>747</v>
      </c>
      <c r="F28">
        <v>2000</v>
      </c>
      <c r="G28">
        <v>30000</v>
      </c>
      <c r="H28">
        <v>15000</v>
      </c>
      <c r="I28" t="s">
        <v>191</v>
      </c>
      <c r="J28" t="s">
        <v>191</v>
      </c>
      <c r="K28" t="s">
        <v>191</v>
      </c>
      <c r="L28" t="s">
        <v>191</v>
      </c>
      <c r="M28" t="s">
        <v>191</v>
      </c>
    </row>
    <row r="29" spans="1:13" x14ac:dyDescent="0.3">
      <c r="A29" t="s">
        <v>187</v>
      </c>
      <c r="B29" t="s">
        <v>645</v>
      </c>
      <c r="C29" t="s">
        <v>646</v>
      </c>
      <c r="D29" t="s">
        <v>104</v>
      </c>
      <c r="E29" t="s">
        <v>647</v>
      </c>
      <c r="F29">
        <v>1000</v>
      </c>
      <c r="G29">
        <v>15000</v>
      </c>
      <c r="H29">
        <v>5000</v>
      </c>
      <c r="I29" t="s">
        <v>191</v>
      </c>
      <c r="J29" t="s">
        <v>191</v>
      </c>
      <c r="K29" t="s">
        <v>191</v>
      </c>
      <c r="L29" t="s">
        <v>191</v>
      </c>
      <c r="M29" t="s">
        <v>191</v>
      </c>
    </row>
    <row r="30" spans="1:13" x14ac:dyDescent="0.3">
      <c r="A30" t="s">
        <v>187</v>
      </c>
      <c r="B30" t="s">
        <v>648</v>
      </c>
      <c r="C30" t="s">
        <v>748</v>
      </c>
      <c r="D30" t="s">
        <v>63</v>
      </c>
      <c r="E30" t="s">
        <v>749</v>
      </c>
      <c r="F30">
        <v>3000</v>
      </c>
      <c r="G30">
        <v>15000</v>
      </c>
      <c r="H30">
        <v>8000</v>
      </c>
      <c r="I30" t="s">
        <v>191</v>
      </c>
    </row>
    <row r="31" spans="1:13" x14ac:dyDescent="0.3">
      <c r="A31" t="s">
        <v>187</v>
      </c>
      <c r="B31" t="s">
        <v>649</v>
      </c>
      <c r="C31" t="s">
        <v>750</v>
      </c>
      <c r="D31" t="s">
        <v>63</v>
      </c>
      <c r="E31" t="s">
        <v>795</v>
      </c>
      <c r="J31" t="s">
        <v>191</v>
      </c>
      <c r="K31" t="s">
        <v>191</v>
      </c>
      <c r="L31" t="s">
        <v>191</v>
      </c>
    </row>
    <row r="32" spans="1:13" x14ac:dyDescent="0.3">
      <c r="A32" t="s">
        <v>187</v>
      </c>
      <c r="B32" t="s">
        <v>650</v>
      </c>
      <c r="C32" t="s">
        <v>751</v>
      </c>
      <c r="D32" t="s">
        <v>91</v>
      </c>
      <c r="E32" t="s">
        <v>752</v>
      </c>
      <c r="J32" t="s">
        <v>191</v>
      </c>
      <c r="K32" t="s">
        <v>191</v>
      </c>
      <c r="L32" t="s">
        <v>191</v>
      </c>
    </row>
    <row r="33" spans="1:14" x14ac:dyDescent="0.3">
      <c r="A33" t="s">
        <v>187</v>
      </c>
      <c r="B33" t="s">
        <v>651</v>
      </c>
      <c r="C33" t="s">
        <v>753</v>
      </c>
      <c r="D33" t="s">
        <v>77</v>
      </c>
      <c r="E33" t="s">
        <v>754</v>
      </c>
      <c r="J33" t="s">
        <v>191</v>
      </c>
      <c r="K33" t="s">
        <v>191</v>
      </c>
      <c r="L33" t="s">
        <v>191</v>
      </c>
    </row>
    <row r="34" spans="1:14" x14ac:dyDescent="0.3">
      <c r="A34" t="s">
        <v>652</v>
      </c>
      <c r="B34" t="s">
        <v>755</v>
      </c>
      <c r="C34" t="s">
        <v>756</v>
      </c>
      <c r="D34" t="s">
        <v>20</v>
      </c>
      <c r="E34" t="s">
        <v>796</v>
      </c>
      <c r="F34">
        <v>5000</v>
      </c>
      <c r="G34">
        <v>30000</v>
      </c>
      <c r="H34">
        <v>10000</v>
      </c>
      <c r="I34" t="s">
        <v>191</v>
      </c>
      <c r="J34" t="s">
        <v>191</v>
      </c>
      <c r="K34" t="s">
        <v>191</v>
      </c>
      <c r="L34" t="s">
        <v>191</v>
      </c>
      <c r="M34" t="s">
        <v>191</v>
      </c>
    </row>
    <row r="35" spans="1:14" x14ac:dyDescent="0.3">
      <c r="A35" t="s">
        <v>652</v>
      </c>
      <c r="B35" t="s">
        <v>653</v>
      </c>
      <c r="C35" t="s">
        <v>757</v>
      </c>
      <c r="D35" t="s">
        <v>63</v>
      </c>
      <c r="E35" t="s">
        <v>797</v>
      </c>
      <c r="F35">
        <v>5000</v>
      </c>
      <c r="G35">
        <v>30000</v>
      </c>
      <c r="H35">
        <v>15000</v>
      </c>
      <c r="I35" t="s">
        <v>191</v>
      </c>
      <c r="J35" t="s">
        <v>191</v>
      </c>
      <c r="K35" t="s">
        <v>191</v>
      </c>
      <c r="L35" t="s">
        <v>191</v>
      </c>
      <c r="M35" t="s">
        <v>191</v>
      </c>
      <c r="N35" t="s">
        <v>811</v>
      </c>
    </row>
    <row r="36" spans="1:14" x14ac:dyDescent="0.3">
      <c r="A36" t="s">
        <v>184</v>
      </c>
      <c r="B36" t="s">
        <v>654</v>
      </c>
      <c r="C36" t="s">
        <v>36</v>
      </c>
      <c r="D36" t="s">
        <v>36</v>
      </c>
      <c r="E36" t="s">
        <v>812</v>
      </c>
      <c r="F36">
        <v>22500</v>
      </c>
      <c r="G36">
        <v>180000</v>
      </c>
      <c r="H36">
        <v>75000</v>
      </c>
      <c r="I36" t="s">
        <v>191</v>
      </c>
      <c r="J36" t="s">
        <v>191</v>
      </c>
      <c r="K36" t="s">
        <v>191</v>
      </c>
      <c r="L36" t="s">
        <v>191</v>
      </c>
      <c r="M36" t="s">
        <v>191</v>
      </c>
    </row>
    <row r="37" spans="1:14" x14ac:dyDescent="0.3">
      <c r="A37" t="s">
        <v>184</v>
      </c>
      <c r="B37" t="s">
        <v>655</v>
      </c>
      <c r="C37" t="s">
        <v>81</v>
      </c>
      <c r="D37" t="s">
        <v>81</v>
      </c>
      <c r="E37" t="s">
        <v>813</v>
      </c>
      <c r="F37">
        <v>5000</v>
      </c>
      <c r="G37">
        <v>80000</v>
      </c>
      <c r="H37">
        <v>40000</v>
      </c>
      <c r="I37" t="s">
        <v>191</v>
      </c>
      <c r="J37" t="s">
        <v>191</v>
      </c>
      <c r="K37" t="s">
        <v>191</v>
      </c>
      <c r="L37" t="s">
        <v>191</v>
      </c>
      <c r="M37" t="s">
        <v>191</v>
      </c>
    </row>
    <row r="38" spans="1:14" x14ac:dyDescent="0.3">
      <c r="A38" t="s">
        <v>184</v>
      </c>
      <c r="B38" t="s">
        <v>656</v>
      </c>
      <c r="C38" t="s">
        <v>63</v>
      </c>
      <c r="D38" t="s">
        <v>63</v>
      </c>
      <c r="E38" t="s">
        <v>814</v>
      </c>
      <c r="F38">
        <v>30000</v>
      </c>
      <c r="G38">
        <v>120000</v>
      </c>
      <c r="H38">
        <v>60000</v>
      </c>
      <c r="I38" t="s">
        <v>191</v>
      </c>
      <c r="J38" t="s">
        <v>622</v>
      </c>
      <c r="K38" t="s">
        <v>622</v>
      </c>
      <c r="L38" t="s">
        <v>657</v>
      </c>
      <c r="M38" t="s">
        <v>622</v>
      </c>
    </row>
    <row r="39" spans="1:14" x14ac:dyDescent="0.3">
      <c r="A39" t="s">
        <v>184</v>
      </c>
      <c r="B39" t="s">
        <v>658</v>
      </c>
      <c r="C39" t="s">
        <v>91</v>
      </c>
      <c r="D39" t="s">
        <v>91</v>
      </c>
      <c r="E39" t="s">
        <v>815</v>
      </c>
      <c r="F39">
        <v>20000</v>
      </c>
      <c r="G39">
        <v>200000</v>
      </c>
      <c r="H39">
        <v>100000</v>
      </c>
      <c r="I39" t="s">
        <v>191</v>
      </c>
      <c r="J39" t="s">
        <v>191</v>
      </c>
      <c r="K39" t="s">
        <v>191</v>
      </c>
      <c r="L39" t="s">
        <v>622</v>
      </c>
      <c r="M39" t="s">
        <v>191</v>
      </c>
    </row>
    <row r="40" spans="1:14" x14ac:dyDescent="0.3">
      <c r="A40" t="s">
        <v>40</v>
      </c>
      <c r="B40" t="s">
        <v>659</v>
      </c>
      <c r="C40" t="s">
        <v>660</v>
      </c>
      <c r="D40" t="s">
        <v>47</v>
      </c>
      <c r="E40" t="s">
        <v>661</v>
      </c>
      <c r="F40">
        <v>58333</v>
      </c>
      <c r="G40">
        <v>0</v>
      </c>
      <c r="H40">
        <v>20000</v>
      </c>
      <c r="I40" t="s">
        <v>191</v>
      </c>
      <c r="J40" t="s">
        <v>622</v>
      </c>
      <c r="K40" t="s">
        <v>622</v>
      </c>
      <c r="L40" t="s">
        <v>657</v>
      </c>
      <c r="M40" t="s">
        <v>622</v>
      </c>
    </row>
    <row r="41" spans="1:14" x14ac:dyDescent="0.3">
      <c r="A41" t="s">
        <v>40</v>
      </c>
      <c r="B41" t="s">
        <v>662</v>
      </c>
      <c r="C41" t="s">
        <v>663</v>
      </c>
      <c r="D41" t="s">
        <v>47</v>
      </c>
      <c r="E41" t="s">
        <v>664</v>
      </c>
      <c r="F41">
        <v>29167</v>
      </c>
      <c r="G41">
        <v>0</v>
      </c>
      <c r="H41">
        <v>10000</v>
      </c>
      <c r="I41" t="s">
        <v>191</v>
      </c>
      <c r="J41" t="s">
        <v>191</v>
      </c>
      <c r="K41" t="s">
        <v>622</v>
      </c>
      <c r="L41" t="s">
        <v>657</v>
      </c>
      <c r="M41" t="s">
        <v>622</v>
      </c>
    </row>
    <row r="42" spans="1:14" x14ac:dyDescent="0.3">
      <c r="A42" t="s">
        <v>40</v>
      </c>
      <c r="B42" t="s">
        <v>665</v>
      </c>
      <c r="C42" t="s">
        <v>666</v>
      </c>
      <c r="D42" t="s">
        <v>47</v>
      </c>
      <c r="E42" t="s">
        <v>758</v>
      </c>
      <c r="F42">
        <v>15000</v>
      </c>
      <c r="G42">
        <v>100000</v>
      </c>
      <c r="H42">
        <v>40000</v>
      </c>
      <c r="I42" t="s">
        <v>191</v>
      </c>
      <c r="J42" t="s">
        <v>191</v>
      </c>
      <c r="K42" t="s">
        <v>191</v>
      </c>
      <c r="L42" t="s">
        <v>622</v>
      </c>
      <c r="M42" t="s">
        <v>191</v>
      </c>
    </row>
    <row r="43" spans="1:14" x14ac:dyDescent="0.3">
      <c r="A43" t="s">
        <v>40</v>
      </c>
      <c r="B43" t="s">
        <v>667</v>
      </c>
      <c r="C43" t="s">
        <v>663</v>
      </c>
      <c r="D43" t="s">
        <v>47</v>
      </c>
      <c r="E43" t="s">
        <v>816</v>
      </c>
      <c r="F43">
        <v>833</v>
      </c>
      <c r="G43">
        <v>6944</v>
      </c>
      <c r="H43">
        <v>4000</v>
      </c>
      <c r="I43" t="s">
        <v>191</v>
      </c>
      <c r="J43" t="s">
        <v>191</v>
      </c>
      <c r="K43" t="s">
        <v>191</v>
      </c>
      <c r="L43" t="s">
        <v>622</v>
      </c>
      <c r="M43" t="s">
        <v>191</v>
      </c>
    </row>
    <row r="44" spans="1:14" x14ac:dyDescent="0.3">
      <c r="A44" t="s">
        <v>40</v>
      </c>
      <c r="B44" t="s">
        <v>668</v>
      </c>
      <c r="C44" t="s">
        <v>63</v>
      </c>
      <c r="D44" t="s">
        <v>16</v>
      </c>
      <c r="E44" t="s">
        <v>817</v>
      </c>
      <c r="F44">
        <v>45000</v>
      </c>
      <c r="G44">
        <v>100000</v>
      </c>
      <c r="H44">
        <v>60000</v>
      </c>
      <c r="I44" t="s">
        <v>191</v>
      </c>
      <c r="J44" t="s">
        <v>191</v>
      </c>
      <c r="K44" t="s">
        <v>191</v>
      </c>
      <c r="L44" t="s">
        <v>622</v>
      </c>
      <c r="M44" t="s">
        <v>191</v>
      </c>
    </row>
    <row r="45" spans="1:14" x14ac:dyDescent="0.3">
      <c r="A45" t="s">
        <v>40</v>
      </c>
      <c r="B45" t="s">
        <v>668</v>
      </c>
      <c r="C45" t="s">
        <v>818</v>
      </c>
      <c r="D45" t="s">
        <v>819</v>
      </c>
      <c r="E45" t="s">
        <v>820</v>
      </c>
      <c r="N45" t="s">
        <v>821</v>
      </c>
    </row>
    <row r="46" spans="1:14" x14ac:dyDescent="0.3">
      <c r="A46" t="s">
        <v>40</v>
      </c>
      <c r="B46" t="s">
        <v>669</v>
      </c>
      <c r="C46" t="s">
        <v>36</v>
      </c>
      <c r="D46" t="s">
        <v>36</v>
      </c>
      <c r="E46" t="s">
        <v>670</v>
      </c>
      <c r="F46">
        <v>3000</v>
      </c>
      <c r="G46">
        <v>30000</v>
      </c>
      <c r="H46">
        <v>15000</v>
      </c>
      <c r="I46" t="s">
        <v>191</v>
      </c>
      <c r="J46" t="s">
        <v>191</v>
      </c>
      <c r="K46" t="s">
        <v>191</v>
      </c>
      <c r="L46" t="s">
        <v>191</v>
      </c>
      <c r="M46" t="s">
        <v>191</v>
      </c>
    </row>
    <row r="47" spans="1:14" x14ac:dyDescent="0.3">
      <c r="A47" t="s">
        <v>40</v>
      </c>
      <c r="B47" t="s">
        <v>671</v>
      </c>
      <c r="C47" t="s">
        <v>759</v>
      </c>
      <c r="D47" t="s">
        <v>63</v>
      </c>
      <c r="E47" t="s">
        <v>760</v>
      </c>
      <c r="J47" t="s">
        <v>191</v>
      </c>
      <c r="K47" t="s">
        <v>191</v>
      </c>
      <c r="L47" t="s">
        <v>191</v>
      </c>
    </row>
    <row r="48" spans="1:14" x14ac:dyDescent="0.3">
      <c r="A48" t="s">
        <v>40</v>
      </c>
      <c r="B48" t="s">
        <v>672</v>
      </c>
      <c r="C48" t="s">
        <v>63</v>
      </c>
      <c r="D48" t="s">
        <v>63</v>
      </c>
      <c r="E48" t="s">
        <v>673</v>
      </c>
      <c r="F48">
        <v>30000</v>
      </c>
      <c r="G48">
        <v>60000</v>
      </c>
      <c r="H48">
        <v>40000</v>
      </c>
      <c r="I48" t="s">
        <v>622</v>
      </c>
      <c r="J48" t="s">
        <v>622</v>
      </c>
      <c r="K48" t="s">
        <v>622</v>
      </c>
      <c r="L48" t="s">
        <v>622</v>
      </c>
      <c r="M48" t="s">
        <v>622</v>
      </c>
    </row>
    <row r="49" spans="1:13" x14ac:dyDescent="0.3">
      <c r="A49" t="s">
        <v>40</v>
      </c>
      <c r="B49" t="s">
        <v>674</v>
      </c>
      <c r="C49" t="s">
        <v>675</v>
      </c>
      <c r="D49" t="s">
        <v>20</v>
      </c>
      <c r="E49" t="s">
        <v>761</v>
      </c>
      <c r="F49">
        <v>10000</v>
      </c>
      <c r="G49">
        <v>30000</v>
      </c>
      <c r="H49">
        <v>15000</v>
      </c>
      <c r="I49" t="s">
        <v>622</v>
      </c>
      <c r="J49" t="s">
        <v>622</v>
      </c>
      <c r="K49" t="s">
        <v>622</v>
      </c>
      <c r="L49" t="s">
        <v>622</v>
      </c>
      <c r="M49" t="s">
        <v>622</v>
      </c>
    </row>
    <row r="50" spans="1:13" x14ac:dyDescent="0.3">
      <c r="A50" t="s">
        <v>40</v>
      </c>
      <c r="B50" t="s">
        <v>676</v>
      </c>
      <c r="C50" t="s">
        <v>36</v>
      </c>
      <c r="D50" t="s">
        <v>36</v>
      </c>
      <c r="E50" t="s">
        <v>798</v>
      </c>
      <c r="F50">
        <v>5000</v>
      </c>
      <c r="G50">
        <v>30000</v>
      </c>
      <c r="H50">
        <v>10000</v>
      </c>
      <c r="I50" t="s">
        <v>622</v>
      </c>
      <c r="J50" t="s">
        <v>622</v>
      </c>
      <c r="K50" t="s">
        <v>622</v>
      </c>
      <c r="L50" t="s">
        <v>622</v>
      </c>
      <c r="M50" t="s">
        <v>622</v>
      </c>
    </row>
    <row r="51" spans="1:13" x14ac:dyDescent="0.3">
      <c r="A51" t="s">
        <v>186</v>
      </c>
      <c r="B51" t="s">
        <v>677</v>
      </c>
      <c r="C51" t="s">
        <v>111</v>
      </c>
      <c r="D51" t="s">
        <v>111</v>
      </c>
      <c r="E51" t="s">
        <v>678</v>
      </c>
      <c r="F51">
        <v>8333</v>
      </c>
      <c r="G51">
        <v>62500</v>
      </c>
      <c r="H51">
        <v>30000</v>
      </c>
      <c r="I51" t="s">
        <v>191</v>
      </c>
      <c r="J51" t="s">
        <v>191</v>
      </c>
      <c r="K51" t="s">
        <v>191</v>
      </c>
      <c r="L51" t="s">
        <v>191</v>
      </c>
      <c r="M51" t="s">
        <v>622</v>
      </c>
    </row>
    <row r="52" spans="1:13" x14ac:dyDescent="0.3">
      <c r="A52" t="s">
        <v>186</v>
      </c>
      <c r="B52" t="s">
        <v>679</v>
      </c>
      <c r="C52" t="s">
        <v>36</v>
      </c>
      <c r="D52" t="s">
        <v>36</v>
      </c>
      <c r="E52" t="s">
        <v>680</v>
      </c>
      <c r="F52">
        <v>5000</v>
      </c>
      <c r="G52">
        <v>50000</v>
      </c>
      <c r="H52">
        <v>20000</v>
      </c>
      <c r="I52" t="s">
        <v>191</v>
      </c>
      <c r="J52" t="s">
        <v>622</v>
      </c>
      <c r="K52" t="s">
        <v>622</v>
      </c>
      <c r="L52" t="s">
        <v>657</v>
      </c>
      <c r="M52" t="s">
        <v>622</v>
      </c>
    </row>
    <row r="53" spans="1:13" x14ac:dyDescent="0.3">
      <c r="A53" t="s">
        <v>186</v>
      </c>
      <c r="B53" t="s">
        <v>681</v>
      </c>
      <c r="C53" t="s">
        <v>63</v>
      </c>
      <c r="D53" t="s">
        <v>63</v>
      </c>
      <c r="E53" t="s">
        <v>682</v>
      </c>
      <c r="F53">
        <v>1250</v>
      </c>
      <c r="G53">
        <v>15000</v>
      </c>
      <c r="H53">
        <v>8000</v>
      </c>
      <c r="I53" t="s">
        <v>191</v>
      </c>
      <c r="J53" t="s">
        <v>191</v>
      </c>
      <c r="K53" t="s">
        <v>191</v>
      </c>
      <c r="L53" t="s">
        <v>191</v>
      </c>
      <c r="M53" t="s">
        <v>622</v>
      </c>
    </row>
    <row r="54" spans="1:13" x14ac:dyDescent="0.3">
      <c r="A54" t="s">
        <v>186</v>
      </c>
      <c r="B54" t="s">
        <v>683</v>
      </c>
      <c r="C54" t="s">
        <v>63</v>
      </c>
      <c r="D54" t="s">
        <v>63</v>
      </c>
      <c r="E54" t="s">
        <v>684</v>
      </c>
      <c r="F54">
        <v>10000</v>
      </c>
      <c r="G54">
        <v>30000</v>
      </c>
      <c r="H54">
        <v>20000</v>
      </c>
      <c r="I54" t="s">
        <v>191</v>
      </c>
      <c r="J54" t="s">
        <v>191</v>
      </c>
      <c r="K54" t="s">
        <v>191</v>
      </c>
      <c r="L54" t="s">
        <v>191</v>
      </c>
      <c r="M54" t="s">
        <v>191</v>
      </c>
    </row>
    <row r="55" spans="1:13" x14ac:dyDescent="0.3">
      <c r="A55" t="s">
        <v>186</v>
      </c>
      <c r="B55" t="s">
        <v>685</v>
      </c>
      <c r="C55" t="s">
        <v>63</v>
      </c>
      <c r="D55" t="s">
        <v>63</v>
      </c>
      <c r="E55" t="s">
        <v>686</v>
      </c>
      <c r="F55">
        <v>8667</v>
      </c>
      <c r="G55">
        <v>41667</v>
      </c>
      <c r="H55">
        <v>20000</v>
      </c>
      <c r="I55" t="s">
        <v>191</v>
      </c>
      <c r="J55" t="s">
        <v>191</v>
      </c>
      <c r="K55" t="s">
        <v>191</v>
      </c>
      <c r="L55" t="s">
        <v>191</v>
      </c>
      <c r="M55" t="s">
        <v>191</v>
      </c>
    </row>
    <row r="56" spans="1:13" x14ac:dyDescent="0.3">
      <c r="A56" t="s">
        <v>186</v>
      </c>
      <c r="B56" t="s">
        <v>687</v>
      </c>
      <c r="C56" t="s">
        <v>688</v>
      </c>
      <c r="D56" t="s">
        <v>63</v>
      </c>
      <c r="E56" t="s">
        <v>762</v>
      </c>
      <c r="F56">
        <v>30000</v>
      </c>
      <c r="G56">
        <v>0</v>
      </c>
      <c r="H56">
        <v>10000</v>
      </c>
      <c r="I56" t="s">
        <v>191</v>
      </c>
      <c r="J56" t="s">
        <v>191</v>
      </c>
      <c r="K56" t="s">
        <v>191</v>
      </c>
      <c r="L56" t="s">
        <v>191</v>
      </c>
      <c r="M56" t="s">
        <v>622</v>
      </c>
    </row>
    <row r="57" spans="1:13" x14ac:dyDescent="0.3">
      <c r="A57" t="s">
        <v>186</v>
      </c>
      <c r="B57" t="s">
        <v>689</v>
      </c>
      <c r="C57" t="s">
        <v>130</v>
      </c>
      <c r="D57" t="s">
        <v>130</v>
      </c>
      <c r="E57" t="s">
        <v>763</v>
      </c>
      <c r="F57">
        <v>0</v>
      </c>
      <c r="G57">
        <v>110000</v>
      </c>
      <c r="H57">
        <v>55000</v>
      </c>
      <c r="I57" t="s">
        <v>191</v>
      </c>
      <c r="J57" t="s">
        <v>191</v>
      </c>
      <c r="K57" t="s">
        <v>191</v>
      </c>
      <c r="L57" t="s">
        <v>191</v>
      </c>
      <c r="M57" t="s">
        <v>191</v>
      </c>
    </row>
    <row r="58" spans="1:13" x14ac:dyDescent="0.3">
      <c r="A58" t="s">
        <v>186</v>
      </c>
      <c r="B58" t="s">
        <v>690</v>
      </c>
      <c r="C58" t="s">
        <v>764</v>
      </c>
      <c r="D58" t="s">
        <v>178</v>
      </c>
      <c r="E58" t="s">
        <v>765</v>
      </c>
      <c r="F58">
        <v>5000</v>
      </c>
      <c r="G58">
        <v>30000</v>
      </c>
      <c r="H58">
        <v>10000</v>
      </c>
      <c r="I58" t="s">
        <v>191</v>
      </c>
      <c r="J58" t="s">
        <v>191</v>
      </c>
      <c r="K58" t="s">
        <v>191</v>
      </c>
      <c r="L58" t="s">
        <v>191</v>
      </c>
      <c r="M58" t="s">
        <v>191</v>
      </c>
    </row>
    <row r="59" spans="1:13" x14ac:dyDescent="0.3">
      <c r="A59" t="s">
        <v>34</v>
      </c>
      <c r="B59" t="s">
        <v>691</v>
      </c>
      <c r="C59" t="s">
        <v>11</v>
      </c>
      <c r="D59" t="s">
        <v>11</v>
      </c>
      <c r="E59" t="s">
        <v>692</v>
      </c>
      <c r="F59">
        <v>1500</v>
      </c>
      <c r="G59">
        <v>15000</v>
      </c>
      <c r="H59">
        <v>15000</v>
      </c>
      <c r="I59" t="s">
        <v>191</v>
      </c>
      <c r="J59" t="s">
        <v>191</v>
      </c>
      <c r="K59" t="s">
        <v>191</v>
      </c>
      <c r="L59" t="s">
        <v>191</v>
      </c>
      <c r="M59" t="s">
        <v>191</v>
      </c>
    </row>
    <row r="60" spans="1:13" x14ac:dyDescent="0.3">
      <c r="A60" t="s">
        <v>34</v>
      </c>
      <c r="B60" t="s">
        <v>693</v>
      </c>
      <c r="C60" t="s">
        <v>81</v>
      </c>
      <c r="D60" t="s">
        <v>81</v>
      </c>
      <c r="E60" t="s">
        <v>694</v>
      </c>
      <c r="F60">
        <v>500</v>
      </c>
      <c r="G60">
        <v>10000</v>
      </c>
      <c r="H60">
        <v>5000</v>
      </c>
      <c r="I60" t="s">
        <v>191</v>
      </c>
      <c r="J60" t="s">
        <v>191</v>
      </c>
      <c r="K60" t="s">
        <v>191</v>
      </c>
      <c r="L60" t="s">
        <v>191</v>
      </c>
      <c r="M60" t="s">
        <v>191</v>
      </c>
    </row>
    <row r="61" spans="1:13" x14ac:dyDescent="0.3">
      <c r="A61" t="s">
        <v>34</v>
      </c>
      <c r="B61" t="s">
        <v>695</v>
      </c>
      <c r="C61" t="s">
        <v>111</v>
      </c>
      <c r="D61" t="s">
        <v>111</v>
      </c>
      <c r="E61" t="s">
        <v>696</v>
      </c>
      <c r="F61">
        <v>200</v>
      </c>
      <c r="G61">
        <v>10000</v>
      </c>
      <c r="H61">
        <v>5000</v>
      </c>
      <c r="I61" t="s">
        <v>191</v>
      </c>
      <c r="J61" t="s">
        <v>191</v>
      </c>
      <c r="K61" t="s">
        <v>191</v>
      </c>
      <c r="L61" t="s">
        <v>191</v>
      </c>
      <c r="M61" t="s">
        <v>622</v>
      </c>
    </row>
    <row r="62" spans="1:13" x14ac:dyDescent="0.3">
      <c r="A62" t="s">
        <v>34</v>
      </c>
      <c r="B62" t="s">
        <v>697</v>
      </c>
      <c r="C62" t="s">
        <v>111</v>
      </c>
      <c r="D62" t="s">
        <v>111</v>
      </c>
      <c r="E62" t="s">
        <v>696</v>
      </c>
      <c r="F62">
        <v>2000</v>
      </c>
      <c r="G62">
        <v>15000</v>
      </c>
      <c r="H62">
        <v>2000</v>
      </c>
      <c r="I62" t="s">
        <v>191</v>
      </c>
      <c r="J62" t="s">
        <v>191</v>
      </c>
      <c r="K62" t="s">
        <v>191</v>
      </c>
      <c r="L62" t="s">
        <v>191</v>
      </c>
      <c r="M62" t="s">
        <v>191</v>
      </c>
    </row>
    <row r="63" spans="1:13" x14ac:dyDescent="0.3">
      <c r="A63" t="s">
        <v>34</v>
      </c>
      <c r="B63" t="s">
        <v>698</v>
      </c>
      <c r="C63" t="s">
        <v>36</v>
      </c>
      <c r="D63" t="s">
        <v>36</v>
      </c>
      <c r="E63" t="s">
        <v>699</v>
      </c>
      <c r="F63">
        <v>300</v>
      </c>
      <c r="G63">
        <v>3000</v>
      </c>
      <c r="H63">
        <v>2000</v>
      </c>
      <c r="I63" t="s">
        <v>191</v>
      </c>
      <c r="J63" t="s">
        <v>191</v>
      </c>
      <c r="K63" t="s">
        <v>191</v>
      </c>
      <c r="L63" t="s">
        <v>191</v>
      </c>
      <c r="M63" t="s">
        <v>191</v>
      </c>
    </row>
    <row r="64" spans="1:13" x14ac:dyDescent="0.3">
      <c r="A64" t="s">
        <v>34</v>
      </c>
      <c r="B64" t="s">
        <v>700</v>
      </c>
      <c r="C64" t="s">
        <v>77</v>
      </c>
      <c r="D64" t="s">
        <v>77</v>
      </c>
      <c r="E64" t="s">
        <v>701</v>
      </c>
      <c r="F64">
        <v>11250</v>
      </c>
      <c r="G64">
        <v>20000</v>
      </c>
      <c r="H64">
        <v>15000</v>
      </c>
      <c r="I64" t="s">
        <v>191</v>
      </c>
      <c r="J64" t="s">
        <v>191</v>
      </c>
      <c r="K64" t="s">
        <v>191</v>
      </c>
      <c r="L64" t="s">
        <v>191</v>
      </c>
      <c r="M64" t="s">
        <v>622</v>
      </c>
    </row>
    <row r="65" spans="1:13" x14ac:dyDescent="0.3">
      <c r="A65" t="s">
        <v>34</v>
      </c>
      <c r="B65" t="s">
        <v>702</v>
      </c>
      <c r="C65" t="s">
        <v>703</v>
      </c>
      <c r="D65" t="s">
        <v>111</v>
      </c>
      <c r="E65" t="s">
        <v>704</v>
      </c>
      <c r="F65">
        <v>1000</v>
      </c>
      <c r="G65">
        <v>0</v>
      </c>
      <c r="H65">
        <v>0</v>
      </c>
      <c r="I65" t="s">
        <v>191</v>
      </c>
      <c r="J65" t="s">
        <v>191</v>
      </c>
      <c r="K65" t="s">
        <v>191</v>
      </c>
      <c r="L65" t="s">
        <v>191</v>
      </c>
      <c r="M65" t="s">
        <v>191</v>
      </c>
    </row>
    <row r="66" spans="1:13" x14ac:dyDescent="0.3">
      <c r="A66" t="s">
        <v>705</v>
      </c>
      <c r="B66" t="s">
        <v>706</v>
      </c>
      <c r="C66" t="s">
        <v>63</v>
      </c>
      <c r="D66" t="s">
        <v>63</v>
      </c>
      <c r="E66" t="s">
        <v>799</v>
      </c>
      <c r="F66">
        <v>5000</v>
      </c>
      <c r="G66">
        <v>50000</v>
      </c>
      <c r="H66">
        <v>15000</v>
      </c>
      <c r="I66" t="s">
        <v>191</v>
      </c>
      <c r="J66" t="s">
        <v>191</v>
      </c>
      <c r="K66" t="s">
        <v>191</v>
      </c>
      <c r="L66" t="s">
        <v>622</v>
      </c>
      <c r="M66" t="s">
        <v>622</v>
      </c>
    </row>
    <row r="67" spans="1:13" x14ac:dyDescent="0.3">
      <c r="A67" t="s">
        <v>707</v>
      </c>
      <c r="B67" t="s">
        <v>708</v>
      </c>
      <c r="C67" t="s">
        <v>766</v>
      </c>
      <c r="D67" t="s">
        <v>63</v>
      </c>
      <c r="E67" t="s">
        <v>800</v>
      </c>
      <c r="F67">
        <v>30000</v>
      </c>
      <c r="G67">
        <v>100000</v>
      </c>
      <c r="H67">
        <v>50000</v>
      </c>
      <c r="I67" t="s">
        <v>191</v>
      </c>
      <c r="J67" t="s">
        <v>191</v>
      </c>
      <c r="K67" t="s">
        <v>191</v>
      </c>
      <c r="L67" t="s">
        <v>191</v>
      </c>
      <c r="M67" t="s">
        <v>191</v>
      </c>
    </row>
    <row r="68" spans="1:13" x14ac:dyDescent="0.3">
      <c r="A68" t="s">
        <v>707</v>
      </c>
      <c r="B68" t="s">
        <v>709</v>
      </c>
      <c r="C68" t="s">
        <v>767</v>
      </c>
      <c r="D68" t="s">
        <v>63</v>
      </c>
      <c r="E68" t="s">
        <v>768</v>
      </c>
      <c r="F68">
        <v>10000</v>
      </c>
      <c r="G68">
        <v>50000</v>
      </c>
      <c r="H68">
        <v>20000</v>
      </c>
      <c r="I68" t="s">
        <v>191</v>
      </c>
      <c r="J68" t="s">
        <v>191</v>
      </c>
      <c r="K68" t="s">
        <v>191</v>
      </c>
      <c r="L68" t="s">
        <v>191</v>
      </c>
      <c r="M68" t="s">
        <v>191</v>
      </c>
    </row>
    <row r="69" spans="1:13" x14ac:dyDescent="0.3">
      <c r="A69" t="s">
        <v>707</v>
      </c>
      <c r="B69" t="s">
        <v>710</v>
      </c>
      <c r="C69" t="s">
        <v>624</v>
      </c>
      <c r="D69" t="s">
        <v>16</v>
      </c>
      <c r="E69" t="s">
        <v>711</v>
      </c>
      <c r="F69">
        <v>50000</v>
      </c>
      <c r="G69">
        <v>200000</v>
      </c>
      <c r="H69">
        <v>80000</v>
      </c>
      <c r="I69" t="s">
        <v>622</v>
      </c>
      <c r="J69" t="s">
        <v>622</v>
      </c>
      <c r="K69" t="s">
        <v>191</v>
      </c>
      <c r="L69" t="s">
        <v>191</v>
      </c>
      <c r="M69" t="s">
        <v>622</v>
      </c>
    </row>
    <row r="70" spans="1:13" x14ac:dyDescent="0.3">
      <c r="A70" t="s">
        <v>707</v>
      </c>
      <c r="B70" t="s">
        <v>769</v>
      </c>
      <c r="C70" t="s">
        <v>770</v>
      </c>
      <c r="D70" t="s">
        <v>25</v>
      </c>
      <c r="E70" t="s">
        <v>801</v>
      </c>
      <c r="F70">
        <v>5000</v>
      </c>
      <c r="G70">
        <v>50000</v>
      </c>
      <c r="H70">
        <v>20000</v>
      </c>
      <c r="I70" t="s">
        <v>191</v>
      </c>
      <c r="J70" t="s">
        <v>622</v>
      </c>
      <c r="K70" t="s">
        <v>191</v>
      </c>
      <c r="L70" t="s">
        <v>622</v>
      </c>
      <c r="M70" t="s">
        <v>622</v>
      </c>
    </row>
    <row r="71" spans="1:13" x14ac:dyDescent="0.3">
      <c r="A71" t="s">
        <v>712</v>
      </c>
      <c r="B71" t="s">
        <v>713</v>
      </c>
      <c r="C71" t="s">
        <v>771</v>
      </c>
      <c r="D71" t="s">
        <v>25</v>
      </c>
      <c r="E71" t="s">
        <v>772</v>
      </c>
      <c r="F71">
        <v>20000</v>
      </c>
      <c r="G71">
        <v>80000</v>
      </c>
      <c r="H71">
        <v>30000</v>
      </c>
      <c r="I71" t="s">
        <v>191</v>
      </c>
      <c r="J71" t="s">
        <v>191</v>
      </c>
      <c r="K71" t="s">
        <v>191</v>
      </c>
      <c r="L71" t="s">
        <v>191</v>
      </c>
      <c r="M71" t="s">
        <v>191</v>
      </c>
    </row>
    <row r="72" spans="1:13" x14ac:dyDescent="0.3">
      <c r="A72" t="s">
        <v>712</v>
      </c>
      <c r="B72" t="s">
        <v>714</v>
      </c>
      <c r="C72" t="s">
        <v>773</v>
      </c>
      <c r="D72" t="s">
        <v>16</v>
      </c>
      <c r="E72" t="s">
        <v>774</v>
      </c>
      <c r="F72">
        <v>50000</v>
      </c>
      <c r="G72">
        <v>200000</v>
      </c>
      <c r="H72">
        <v>80000</v>
      </c>
      <c r="I72" t="s">
        <v>191</v>
      </c>
      <c r="J72" t="s">
        <v>191</v>
      </c>
      <c r="K72" t="s">
        <v>191</v>
      </c>
      <c r="L72" t="s">
        <v>622</v>
      </c>
      <c r="M72" t="s">
        <v>191</v>
      </c>
    </row>
    <row r="73" spans="1:13" x14ac:dyDescent="0.3">
      <c r="A73" t="s">
        <v>715</v>
      </c>
      <c r="B73" t="s">
        <v>716</v>
      </c>
      <c r="C73" t="s">
        <v>775</v>
      </c>
      <c r="D73" t="s">
        <v>47</v>
      </c>
      <c r="E73" t="s">
        <v>776</v>
      </c>
      <c r="L73" t="s">
        <v>191</v>
      </c>
    </row>
    <row r="74" spans="1:13" x14ac:dyDescent="0.3">
      <c r="A74" t="s">
        <v>715</v>
      </c>
      <c r="B74" t="s">
        <v>717</v>
      </c>
      <c r="C74" t="s">
        <v>777</v>
      </c>
      <c r="D74" t="s">
        <v>104</v>
      </c>
      <c r="E74" t="s">
        <v>802</v>
      </c>
      <c r="L74" t="s">
        <v>191</v>
      </c>
    </row>
    <row r="75" spans="1:13" x14ac:dyDescent="0.3">
      <c r="A75" t="s">
        <v>715</v>
      </c>
      <c r="B75" t="s">
        <v>718</v>
      </c>
      <c r="C75" t="s">
        <v>663</v>
      </c>
      <c r="D75" t="s">
        <v>47</v>
      </c>
      <c r="E75" t="s">
        <v>778</v>
      </c>
      <c r="L75" t="s">
        <v>191</v>
      </c>
    </row>
    <row r="76" spans="1:13" x14ac:dyDescent="0.3">
      <c r="A76" t="s">
        <v>72</v>
      </c>
      <c r="B76" t="s">
        <v>719</v>
      </c>
      <c r="C76" t="s">
        <v>720</v>
      </c>
      <c r="D76" t="s">
        <v>149</v>
      </c>
      <c r="E76" t="s">
        <v>779</v>
      </c>
      <c r="F76">
        <v>0</v>
      </c>
      <c r="G76">
        <v>300000</v>
      </c>
      <c r="H76">
        <v>150000</v>
      </c>
      <c r="I76" t="s">
        <v>191</v>
      </c>
      <c r="J76" t="s">
        <v>191</v>
      </c>
      <c r="K76" t="s">
        <v>191</v>
      </c>
      <c r="L76" t="s">
        <v>191</v>
      </c>
      <c r="M76" t="s">
        <v>191</v>
      </c>
    </row>
    <row r="77" spans="1:13" x14ac:dyDescent="0.3">
      <c r="A77" t="s">
        <v>72</v>
      </c>
      <c r="B77" t="s">
        <v>721</v>
      </c>
      <c r="C77" t="s">
        <v>722</v>
      </c>
      <c r="D77" t="s">
        <v>178</v>
      </c>
      <c r="E77" t="s">
        <v>780</v>
      </c>
      <c r="F77">
        <v>0</v>
      </c>
      <c r="G77">
        <v>50000</v>
      </c>
      <c r="H77">
        <v>20000</v>
      </c>
      <c r="I77" t="s">
        <v>191</v>
      </c>
      <c r="J77" t="s">
        <v>191</v>
      </c>
      <c r="K77" t="s">
        <v>191</v>
      </c>
      <c r="L77" t="s">
        <v>191</v>
      </c>
      <c r="M77" t="s">
        <v>191</v>
      </c>
    </row>
    <row r="78" spans="1:13" x14ac:dyDescent="0.3">
      <c r="A78" t="s">
        <v>72</v>
      </c>
      <c r="B78" t="s">
        <v>723</v>
      </c>
      <c r="C78" t="s">
        <v>724</v>
      </c>
      <c r="D78" t="s">
        <v>74</v>
      </c>
      <c r="E78" t="s">
        <v>725</v>
      </c>
      <c r="F78">
        <v>0</v>
      </c>
      <c r="G78">
        <v>150000</v>
      </c>
      <c r="H78">
        <v>50000</v>
      </c>
      <c r="I78" t="s">
        <v>191</v>
      </c>
      <c r="J78" t="s">
        <v>191</v>
      </c>
      <c r="K78" t="s">
        <v>191</v>
      </c>
      <c r="L78" t="s">
        <v>191</v>
      </c>
      <c r="M78" t="s">
        <v>191</v>
      </c>
    </row>
    <row r="79" spans="1:13" x14ac:dyDescent="0.3">
      <c r="A79" t="s">
        <v>72</v>
      </c>
      <c r="B79" t="s">
        <v>726</v>
      </c>
      <c r="C79" t="s">
        <v>781</v>
      </c>
      <c r="D79" t="s">
        <v>63</v>
      </c>
      <c r="E79" t="s">
        <v>803</v>
      </c>
      <c r="F79">
        <v>30000</v>
      </c>
      <c r="G79">
        <v>100000</v>
      </c>
      <c r="H79">
        <v>60000</v>
      </c>
      <c r="I79" t="s">
        <v>191</v>
      </c>
      <c r="J79" t="s">
        <v>191</v>
      </c>
      <c r="K79" t="s">
        <v>191</v>
      </c>
      <c r="L79" t="s">
        <v>191</v>
      </c>
      <c r="M79" t="s">
        <v>191</v>
      </c>
    </row>
    <row r="80" spans="1:13" x14ac:dyDescent="0.3">
      <c r="A80" t="s">
        <v>72</v>
      </c>
      <c r="B80" t="s">
        <v>782</v>
      </c>
      <c r="C80" t="s">
        <v>783</v>
      </c>
      <c r="D80" t="s">
        <v>16</v>
      </c>
      <c r="E80" t="s">
        <v>804</v>
      </c>
      <c r="F80">
        <v>0</v>
      </c>
      <c r="G80">
        <v>50000</v>
      </c>
      <c r="H80">
        <v>10000</v>
      </c>
      <c r="I80" t="s">
        <v>191</v>
      </c>
      <c r="J80" t="s">
        <v>191</v>
      </c>
      <c r="K80" t="s">
        <v>191</v>
      </c>
      <c r="L80" t="s">
        <v>191</v>
      </c>
      <c r="M80" t="s">
        <v>191</v>
      </c>
    </row>
    <row r="81" spans="1:13" x14ac:dyDescent="0.3">
      <c r="A81" t="s">
        <v>72</v>
      </c>
      <c r="B81" t="s">
        <v>727</v>
      </c>
      <c r="C81" t="s">
        <v>728</v>
      </c>
      <c r="D81" t="s">
        <v>178</v>
      </c>
      <c r="E81" t="s">
        <v>729</v>
      </c>
      <c r="F81">
        <v>0</v>
      </c>
      <c r="G81">
        <v>30000</v>
      </c>
      <c r="H81">
        <v>5000</v>
      </c>
      <c r="I81" t="s">
        <v>191</v>
      </c>
      <c r="J81" t="s">
        <v>191</v>
      </c>
      <c r="K81" t="s">
        <v>191</v>
      </c>
      <c r="L81" t="s">
        <v>191</v>
      </c>
      <c r="M81" t="s">
        <v>191</v>
      </c>
    </row>
    <row r="82" spans="1:13" x14ac:dyDescent="0.3">
      <c r="A82" t="s">
        <v>72</v>
      </c>
      <c r="B82" t="s">
        <v>730</v>
      </c>
      <c r="C82" t="s">
        <v>624</v>
      </c>
      <c r="D82" t="s">
        <v>16</v>
      </c>
      <c r="E82" t="s">
        <v>731</v>
      </c>
      <c r="L82" t="s">
        <v>191</v>
      </c>
    </row>
    <row r="83" spans="1:13" x14ac:dyDescent="0.3">
      <c r="A83" t="s">
        <v>72</v>
      </c>
      <c r="B83" t="s">
        <v>784</v>
      </c>
      <c r="C83" t="s">
        <v>624</v>
      </c>
      <c r="D83" t="s">
        <v>16</v>
      </c>
      <c r="E83" t="s">
        <v>785</v>
      </c>
      <c r="F83">
        <v>5000</v>
      </c>
      <c r="G83">
        <v>30000</v>
      </c>
      <c r="H83">
        <v>10000</v>
      </c>
      <c r="I83" t="s">
        <v>191</v>
      </c>
      <c r="J83" t="s">
        <v>191</v>
      </c>
      <c r="K83" t="s">
        <v>191</v>
      </c>
      <c r="L83" t="s">
        <v>191</v>
      </c>
      <c r="M83" t="s">
        <v>191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C101-D87C-41F6-A925-DFD232FC5306}">
  <dimension ref="A1:L82"/>
  <sheetViews>
    <sheetView tabSelected="1" workbookViewId="0">
      <selection activeCell="L82" sqref="H1:L82"/>
    </sheetView>
  </sheetViews>
  <sheetFormatPr defaultRowHeight="16.5" x14ac:dyDescent="0.3"/>
  <cols>
    <col min="1" max="1" width="7.375" bestFit="1" customWidth="1"/>
    <col min="2" max="2" width="33.625" bestFit="1" customWidth="1"/>
    <col min="3" max="3" width="16.125" bestFit="1" customWidth="1"/>
    <col min="4" max="4" width="76.375" bestFit="1" customWidth="1"/>
    <col min="5" max="7" width="10" bestFit="1" customWidth="1"/>
    <col min="8" max="9" width="7.375" bestFit="1" customWidth="1"/>
    <col min="10" max="10" width="5.5" bestFit="1" customWidth="1"/>
    <col min="11" max="11" width="10.5" bestFit="1" customWidth="1"/>
    <col min="12" max="12" width="7.375" bestFit="1" customWidth="1"/>
  </cols>
  <sheetData>
    <row r="1" spans="1:12" s="30" customFormat="1" x14ac:dyDescent="0.3">
      <c r="A1" s="30" t="s">
        <v>584</v>
      </c>
      <c r="B1" s="30" t="s">
        <v>585</v>
      </c>
      <c r="C1" s="30" t="s">
        <v>822</v>
      </c>
      <c r="D1" s="30" t="s">
        <v>823</v>
      </c>
      <c r="E1" s="30" t="s">
        <v>588</v>
      </c>
      <c r="F1" s="30" t="s">
        <v>589</v>
      </c>
      <c r="G1" s="30" t="s">
        <v>590</v>
      </c>
      <c r="H1" s="30" t="s">
        <v>591</v>
      </c>
      <c r="I1" s="30" t="s">
        <v>592</v>
      </c>
      <c r="J1" s="30" t="s">
        <v>593</v>
      </c>
      <c r="K1" s="30" t="s">
        <v>594</v>
      </c>
      <c r="L1" s="30" t="s">
        <v>595</v>
      </c>
    </row>
    <row r="2" spans="1:12" x14ac:dyDescent="0.3">
      <c r="A2" t="s">
        <v>596</v>
      </c>
      <c r="B2" t="s">
        <v>600</v>
      </c>
      <c r="C2" t="s">
        <v>20</v>
      </c>
      <c r="D2" t="s">
        <v>732</v>
      </c>
      <c r="E2">
        <v>30000</v>
      </c>
      <c r="F2">
        <v>150000</v>
      </c>
      <c r="G2">
        <v>150000</v>
      </c>
      <c r="H2" t="s">
        <v>191</v>
      </c>
      <c r="I2" t="s">
        <v>191</v>
      </c>
      <c r="J2" t="s">
        <v>191</v>
      </c>
      <c r="K2" t="s">
        <v>191</v>
      </c>
      <c r="L2" t="s">
        <v>191</v>
      </c>
    </row>
    <row r="3" spans="1:12" x14ac:dyDescent="0.3">
      <c r="A3" t="s">
        <v>596</v>
      </c>
      <c r="B3" t="s">
        <v>601</v>
      </c>
      <c r="C3" t="s">
        <v>25</v>
      </c>
      <c r="D3" t="s">
        <v>733</v>
      </c>
      <c r="E3">
        <v>5000</v>
      </c>
      <c r="F3">
        <v>60000</v>
      </c>
      <c r="G3">
        <v>30000</v>
      </c>
      <c r="H3" t="s">
        <v>191</v>
      </c>
      <c r="I3" t="s">
        <v>191</v>
      </c>
      <c r="J3" t="s">
        <v>191</v>
      </c>
      <c r="K3" t="s">
        <v>191</v>
      </c>
      <c r="L3" t="s">
        <v>191</v>
      </c>
    </row>
    <row r="4" spans="1:12" x14ac:dyDescent="0.3">
      <c r="A4" t="s">
        <v>596</v>
      </c>
      <c r="B4" t="s">
        <v>601</v>
      </c>
      <c r="C4" t="s">
        <v>63</v>
      </c>
      <c r="D4" t="s">
        <v>824</v>
      </c>
      <c r="E4">
        <v>165</v>
      </c>
      <c r="F4">
        <v>10417</v>
      </c>
      <c r="G4">
        <v>6667</v>
      </c>
      <c r="H4" t="s">
        <v>191</v>
      </c>
      <c r="I4" t="s">
        <v>191</v>
      </c>
      <c r="J4" t="s">
        <v>191</v>
      </c>
      <c r="K4" t="s">
        <v>191</v>
      </c>
      <c r="L4" t="s">
        <v>191</v>
      </c>
    </row>
    <row r="5" spans="1:12" x14ac:dyDescent="0.3">
      <c r="A5" t="s">
        <v>596</v>
      </c>
      <c r="B5" t="s">
        <v>603</v>
      </c>
      <c r="C5" t="s">
        <v>63</v>
      </c>
      <c r="D5" t="s">
        <v>604</v>
      </c>
      <c r="E5">
        <v>2167</v>
      </c>
      <c r="F5">
        <v>40000</v>
      </c>
      <c r="G5">
        <v>10000</v>
      </c>
      <c r="H5" t="s">
        <v>191</v>
      </c>
      <c r="I5" t="s">
        <v>191</v>
      </c>
      <c r="J5" t="s">
        <v>191</v>
      </c>
      <c r="K5" t="s">
        <v>191</v>
      </c>
      <c r="L5" t="s">
        <v>191</v>
      </c>
    </row>
    <row r="6" spans="1:12" x14ac:dyDescent="0.3">
      <c r="A6" t="s">
        <v>596</v>
      </c>
      <c r="B6" t="s">
        <v>605</v>
      </c>
      <c r="C6" t="s">
        <v>111</v>
      </c>
      <c r="D6" t="s">
        <v>734</v>
      </c>
      <c r="E6">
        <v>11625</v>
      </c>
      <c r="F6">
        <v>45000</v>
      </c>
      <c r="G6">
        <v>20000</v>
      </c>
      <c r="H6" t="s">
        <v>191</v>
      </c>
      <c r="I6" t="s">
        <v>191</v>
      </c>
      <c r="J6" t="s">
        <v>191</v>
      </c>
      <c r="K6" t="s">
        <v>191</v>
      </c>
      <c r="L6" t="s">
        <v>191</v>
      </c>
    </row>
    <row r="7" spans="1:12" x14ac:dyDescent="0.3">
      <c r="A7" t="s">
        <v>596</v>
      </c>
      <c r="B7" t="s">
        <v>606</v>
      </c>
      <c r="C7" t="s">
        <v>63</v>
      </c>
      <c r="D7" t="s">
        <v>607</v>
      </c>
      <c r="E7">
        <v>625</v>
      </c>
      <c r="F7">
        <v>20000</v>
      </c>
      <c r="G7">
        <v>10000</v>
      </c>
      <c r="H7" t="s">
        <v>191</v>
      </c>
      <c r="I7" t="s">
        <v>191</v>
      </c>
      <c r="J7" t="s">
        <v>191</v>
      </c>
      <c r="K7" t="s">
        <v>191</v>
      </c>
      <c r="L7" t="s">
        <v>191</v>
      </c>
    </row>
    <row r="8" spans="1:12" x14ac:dyDescent="0.3">
      <c r="A8" t="s">
        <v>596</v>
      </c>
      <c r="B8" t="s">
        <v>608</v>
      </c>
      <c r="C8" t="s">
        <v>36</v>
      </c>
      <c r="D8" t="s">
        <v>609</v>
      </c>
      <c r="E8">
        <v>200</v>
      </c>
      <c r="F8">
        <v>1000</v>
      </c>
      <c r="G8">
        <v>0</v>
      </c>
      <c r="H8" t="s">
        <v>191</v>
      </c>
      <c r="I8" t="s">
        <v>191</v>
      </c>
      <c r="J8" t="s">
        <v>191</v>
      </c>
      <c r="K8" t="s">
        <v>191</v>
      </c>
      <c r="L8" t="s">
        <v>191</v>
      </c>
    </row>
    <row r="9" spans="1:12" x14ac:dyDescent="0.3">
      <c r="A9" t="s">
        <v>596</v>
      </c>
      <c r="B9" t="s">
        <v>610</v>
      </c>
      <c r="C9" t="s">
        <v>123</v>
      </c>
      <c r="D9" t="s">
        <v>612</v>
      </c>
      <c r="E9">
        <v>3000</v>
      </c>
      <c r="F9">
        <v>15000</v>
      </c>
      <c r="G9">
        <v>3000</v>
      </c>
      <c r="H9" t="s">
        <v>191</v>
      </c>
      <c r="I9" t="s">
        <v>191</v>
      </c>
      <c r="J9" t="s">
        <v>191</v>
      </c>
      <c r="K9" t="s">
        <v>191</v>
      </c>
      <c r="L9" t="s">
        <v>191</v>
      </c>
    </row>
    <row r="10" spans="1:12" x14ac:dyDescent="0.3">
      <c r="A10" t="s">
        <v>596</v>
      </c>
      <c r="B10" t="s">
        <v>613</v>
      </c>
      <c r="C10" t="s">
        <v>111</v>
      </c>
      <c r="D10" t="s">
        <v>615</v>
      </c>
      <c r="E10">
        <v>3000</v>
      </c>
      <c r="F10">
        <v>20000</v>
      </c>
      <c r="G10">
        <v>3000</v>
      </c>
      <c r="H10" t="s">
        <v>191</v>
      </c>
      <c r="I10" t="s">
        <v>191</v>
      </c>
      <c r="J10" t="s">
        <v>191</v>
      </c>
      <c r="K10" t="s">
        <v>191</v>
      </c>
      <c r="L10" t="s">
        <v>191</v>
      </c>
    </row>
    <row r="11" spans="1:12" x14ac:dyDescent="0.3">
      <c r="A11" t="s">
        <v>596</v>
      </c>
      <c r="B11" t="s">
        <v>616</v>
      </c>
      <c r="C11" t="s">
        <v>123</v>
      </c>
      <c r="D11" t="s">
        <v>735</v>
      </c>
      <c r="E11">
        <v>1000</v>
      </c>
      <c r="F11">
        <v>8333</v>
      </c>
      <c r="G11">
        <v>1000</v>
      </c>
      <c r="H11" t="s">
        <v>191</v>
      </c>
      <c r="I11" t="s">
        <v>191</v>
      </c>
      <c r="J11" t="s">
        <v>191</v>
      </c>
      <c r="K11" t="s">
        <v>191</v>
      </c>
      <c r="L11" t="s">
        <v>191</v>
      </c>
    </row>
    <row r="12" spans="1:12" x14ac:dyDescent="0.3">
      <c r="A12" t="s">
        <v>596</v>
      </c>
      <c r="B12" t="s">
        <v>618</v>
      </c>
      <c r="C12" t="s">
        <v>63</v>
      </c>
      <c r="D12" t="s">
        <v>787</v>
      </c>
      <c r="E12">
        <v>15000</v>
      </c>
      <c r="F12">
        <v>80000</v>
      </c>
      <c r="G12">
        <v>40000</v>
      </c>
      <c r="H12" t="s">
        <v>191</v>
      </c>
      <c r="I12" t="s">
        <v>191</v>
      </c>
      <c r="J12" t="s">
        <v>191</v>
      </c>
      <c r="K12" t="s">
        <v>191</v>
      </c>
      <c r="L12" t="s">
        <v>191</v>
      </c>
    </row>
    <row r="13" spans="1:12" x14ac:dyDescent="0.3">
      <c r="A13" t="s">
        <v>596</v>
      </c>
      <c r="B13" t="s">
        <v>619</v>
      </c>
      <c r="C13" t="s">
        <v>81</v>
      </c>
      <c r="D13" t="s">
        <v>788</v>
      </c>
      <c r="E13">
        <v>5000</v>
      </c>
      <c r="F13">
        <v>30000</v>
      </c>
      <c r="G13">
        <v>15000</v>
      </c>
      <c r="H13" t="s">
        <v>191</v>
      </c>
      <c r="I13" t="s">
        <v>191</v>
      </c>
      <c r="J13" t="s">
        <v>191</v>
      </c>
      <c r="K13" t="s">
        <v>191</v>
      </c>
      <c r="L13" t="s">
        <v>191</v>
      </c>
    </row>
    <row r="14" spans="1:12" x14ac:dyDescent="0.3">
      <c r="A14" t="s">
        <v>596</v>
      </c>
      <c r="B14" t="s">
        <v>737</v>
      </c>
      <c r="C14" t="s">
        <v>63</v>
      </c>
      <c r="D14" t="s">
        <v>738</v>
      </c>
      <c r="E14">
        <v>15000</v>
      </c>
      <c r="F14">
        <v>80000</v>
      </c>
      <c r="G14">
        <v>30000</v>
      </c>
      <c r="H14" t="s">
        <v>191</v>
      </c>
      <c r="I14" t="s">
        <v>191</v>
      </c>
      <c r="J14" t="s">
        <v>191</v>
      </c>
      <c r="K14" t="s">
        <v>191</v>
      </c>
      <c r="L14" t="s">
        <v>191</v>
      </c>
    </row>
    <row r="15" spans="1:12" x14ac:dyDescent="0.3">
      <c r="A15" t="s">
        <v>596</v>
      </c>
      <c r="B15" t="s">
        <v>620</v>
      </c>
      <c r="C15" t="s">
        <v>63</v>
      </c>
      <c r="D15" t="s">
        <v>789</v>
      </c>
      <c r="E15">
        <v>5000</v>
      </c>
      <c r="F15">
        <v>50000</v>
      </c>
      <c r="G15">
        <v>20000</v>
      </c>
      <c r="H15" t="s">
        <v>191</v>
      </c>
      <c r="I15" t="s">
        <v>191</v>
      </c>
      <c r="J15" t="s">
        <v>191</v>
      </c>
      <c r="K15" t="s">
        <v>191</v>
      </c>
      <c r="L15" t="s">
        <v>191</v>
      </c>
    </row>
    <row r="16" spans="1:12" x14ac:dyDescent="0.3">
      <c r="A16" t="s">
        <v>621</v>
      </c>
      <c r="B16" t="s">
        <v>623</v>
      </c>
      <c r="C16" t="s">
        <v>63</v>
      </c>
      <c r="D16" t="s">
        <v>790</v>
      </c>
      <c r="E16">
        <v>30000</v>
      </c>
      <c r="F16">
        <v>80000</v>
      </c>
      <c r="G16">
        <v>60000</v>
      </c>
      <c r="H16" t="s">
        <v>191</v>
      </c>
      <c r="I16" t="s">
        <v>191</v>
      </c>
      <c r="J16" t="s">
        <v>191</v>
      </c>
      <c r="K16" t="s">
        <v>191</v>
      </c>
      <c r="L16" t="s">
        <v>622</v>
      </c>
    </row>
    <row r="17" spans="1:12" x14ac:dyDescent="0.3">
      <c r="A17" t="s">
        <v>182</v>
      </c>
      <c r="B17" t="s">
        <v>625</v>
      </c>
      <c r="C17" t="s">
        <v>25</v>
      </c>
      <c r="D17" t="s">
        <v>791</v>
      </c>
      <c r="E17">
        <v>20000</v>
      </c>
      <c r="F17">
        <v>100000</v>
      </c>
      <c r="G17">
        <v>60000</v>
      </c>
      <c r="H17" t="s">
        <v>191</v>
      </c>
      <c r="I17" t="s">
        <v>191</v>
      </c>
      <c r="J17" t="s">
        <v>191</v>
      </c>
      <c r="K17" t="s">
        <v>191</v>
      </c>
      <c r="L17" t="s">
        <v>191</v>
      </c>
    </row>
    <row r="18" spans="1:12" x14ac:dyDescent="0.3">
      <c r="A18" t="s">
        <v>182</v>
      </c>
      <c r="B18" t="s">
        <v>626</v>
      </c>
      <c r="C18" t="s">
        <v>63</v>
      </c>
      <c r="D18" t="s">
        <v>742</v>
      </c>
      <c r="E18">
        <v>1667</v>
      </c>
      <c r="F18">
        <v>15000</v>
      </c>
      <c r="G18">
        <v>5000</v>
      </c>
      <c r="H18" t="s">
        <v>191</v>
      </c>
      <c r="I18" t="s">
        <v>191</v>
      </c>
      <c r="J18" t="s">
        <v>191</v>
      </c>
      <c r="K18" t="s">
        <v>191</v>
      </c>
      <c r="L18" t="s">
        <v>191</v>
      </c>
    </row>
    <row r="19" spans="1:12" x14ac:dyDescent="0.3">
      <c r="A19" t="s">
        <v>182</v>
      </c>
      <c r="B19" t="s">
        <v>628</v>
      </c>
      <c r="C19" t="s">
        <v>123</v>
      </c>
      <c r="D19" t="s">
        <v>630</v>
      </c>
      <c r="E19">
        <v>500</v>
      </c>
      <c r="F19">
        <v>5000</v>
      </c>
      <c r="G19">
        <v>3000</v>
      </c>
      <c r="H19" t="s">
        <v>191</v>
      </c>
      <c r="I19" t="s">
        <v>191</v>
      </c>
      <c r="J19" t="s">
        <v>191</v>
      </c>
      <c r="K19" t="s">
        <v>191</v>
      </c>
      <c r="L19" t="s">
        <v>191</v>
      </c>
    </row>
    <row r="20" spans="1:12" x14ac:dyDescent="0.3">
      <c r="A20" t="s">
        <v>182</v>
      </c>
      <c r="B20" t="s">
        <v>631</v>
      </c>
      <c r="C20" t="s">
        <v>104</v>
      </c>
      <c r="D20" t="s">
        <v>633</v>
      </c>
      <c r="E20">
        <v>0</v>
      </c>
      <c r="F20">
        <v>10000</v>
      </c>
      <c r="G20">
        <v>10000</v>
      </c>
      <c r="H20" t="s">
        <v>191</v>
      </c>
      <c r="I20" t="s">
        <v>191</v>
      </c>
      <c r="J20" t="s">
        <v>191</v>
      </c>
      <c r="K20" t="s">
        <v>191</v>
      </c>
      <c r="L20" t="s">
        <v>191</v>
      </c>
    </row>
    <row r="21" spans="1:12" x14ac:dyDescent="0.3">
      <c r="A21" t="s">
        <v>182</v>
      </c>
      <c r="B21" t="s">
        <v>634</v>
      </c>
      <c r="C21" t="s">
        <v>20</v>
      </c>
      <c r="D21" t="s">
        <v>792</v>
      </c>
      <c r="E21">
        <v>100000</v>
      </c>
      <c r="F21">
        <v>300000</v>
      </c>
      <c r="G21">
        <v>150000</v>
      </c>
      <c r="H21" t="s">
        <v>191</v>
      </c>
      <c r="I21" t="s">
        <v>191</v>
      </c>
      <c r="J21" t="s">
        <v>191</v>
      </c>
      <c r="K21" t="s">
        <v>191</v>
      </c>
      <c r="L21" t="s">
        <v>191</v>
      </c>
    </row>
    <row r="22" spans="1:12" x14ac:dyDescent="0.3">
      <c r="A22" t="s">
        <v>182</v>
      </c>
      <c r="B22" t="s">
        <v>635</v>
      </c>
      <c r="C22" t="s">
        <v>20</v>
      </c>
      <c r="D22" t="s">
        <v>825</v>
      </c>
      <c r="E22">
        <v>0</v>
      </c>
      <c r="F22">
        <v>100000</v>
      </c>
      <c r="G22">
        <v>30000</v>
      </c>
      <c r="H22" t="s">
        <v>191</v>
      </c>
      <c r="I22" t="s">
        <v>191</v>
      </c>
      <c r="J22" t="s">
        <v>191</v>
      </c>
      <c r="K22" t="s">
        <v>622</v>
      </c>
      <c r="L22" t="s">
        <v>191</v>
      </c>
    </row>
    <row r="23" spans="1:12" x14ac:dyDescent="0.3">
      <c r="A23" t="s">
        <v>182</v>
      </c>
      <c r="B23" t="s">
        <v>636</v>
      </c>
      <c r="C23" t="s">
        <v>63</v>
      </c>
      <c r="D23" t="s">
        <v>794</v>
      </c>
      <c r="E23">
        <v>15000</v>
      </c>
      <c r="F23">
        <v>60000</v>
      </c>
      <c r="G23">
        <v>30000</v>
      </c>
      <c r="H23" t="s">
        <v>191</v>
      </c>
      <c r="I23" t="s">
        <v>191</v>
      </c>
      <c r="J23" t="s">
        <v>191</v>
      </c>
      <c r="K23" t="s">
        <v>622</v>
      </c>
      <c r="L23" t="s">
        <v>191</v>
      </c>
    </row>
    <row r="24" spans="1:12" x14ac:dyDescent="0.3">
      <c r="A24" t="s">
        <v>187</v>
      </c>
      <c r="B24" t="s">
        <v>637</v>
      </c>
      <c r="C24" t="s">
        <v>91</v>
      </c>
      <c r="D24" t="s">
        <v>826</v>
      </c>
      <c r="E24">
        <v>3000</v>
      </c>
      <c r="F24">
        <v>20000</v>
      </c>
      <c r="G24">
        <v>10000</v>
      </c>
      <c r="H24" t="s">
        <v>191</v>
      </c>
      <c r="I24" t="s">
        <v>657</v>
      </c>
      <c r="J24" t="s">
        <v>191</v>
      </c>
      <c r="K24" t="s">
        <v>191</v>
      </c>
      <c r="L24" t="s">
        <v>191</v>
      </c>
    </row>
    <row r="25" spans="1:12" x14ac:dyDescent="0.3">
      <c r="A25" t="s">
        <v>187</v>
      </c>
      <c r="B25" t="s">
        <v>639</v>
      </c>
      <c r="C25" t="s">
        <v>63</v>
      </c>
      <c r="D25" t="s">
        <v>641</v>
      </c>
      <c r="E25">
        <v>8333</v>
      </c>
      <c r="F25">
        <v>33333</v>
      </c>
      <c r="G25">
        <v>15000</v>
      </c>
      <c r="H25" t="s">
        <v>191</v>
      </c>
      <c r="I25" t="s">
        <v>191</v>
      </c>
      <c r="J25" t="s">
        <v>191</v>
      </c>
      <c r="K25" t="s">
        <v>191</v>
      </c>
      <c r="L25" t="s">
        <v>191</v>
      </c>
    </row>
    <row r="26" spans="1:12" x14ac:dyDescent="0.3">
      <c r="A26" t="s">
        <v>187</v>
      </c>
      <c r="B26" t="s">
        <v>642</v>
      </c>
      <c r="C26" t="s">
        <v>123</v>
      </c>
      <c r="D26" t="s">
        <v>746</v>
      </c>
      <c r="E26">
        <v>7167</v>
      </c>
      <c r="F26">
        <v>16667</v>
      </c>
      <c r="G26">
        <v>10000</v>
      </c>
      <c r="H26" t="s">
        <v>191</v>
      </c>
      <c r="I26" t="s">
        <v>191</v>
      </c>
      <c r="J26" t="s">
        <v>191</v>
      </c>
      <c r="K26" t="s">
        <v>191</v>
      </c>
      <c r="L26" t="s">
        <v>191</v>
      </c>
    </row>
    <row r="27" spans="1:12" x14ac:dyDescent="0.3">
      <c r="A27" t="s">
        <v>187</v>
      </c>
      <c r="B27" t="s">
        <v>644</v>
      </c>
      <c r="C27" t="s">
        <v>123</v>
      </c>
      <c r="D27" t="s">
        <v>747</v>
      </c>
      <c r="E27">
        <v>2000</v>
      </c>
      <c r="F27">
        <v>30000</v>
      </c>
      <c r="G27">
        <v>15000</v>
      </c>
      <c r="H27" t="s">
        <v>191</v>
      </c>
      <c r="I27" t="s">
        <v>191</v>
      </c>
      <c r="J27" t="s">
        <v>191</v>
      </c>
      <c r="K27" t="s">
        <v>191</v>
      </c>
      <c r="L27" t="s">
        <v>191</v>
      </c>
    </row>
    <row r="28" spans="1:12" x14ac:dyDescent="0.3">
      <c r="A28" t="s">
        <v>187</v>
      </c>
      <c r="B28" t="s">
        <v>645</v>
      </c>
      <c r="C28" t="s">
        <v>104</v>
      </c>
      <c r="D28" t="s">
        <v>647</v>
      </c>
      <c r="E28">
        <v>1000</v>
      </c>
      <c r="F28">
        <v>15000</v>
      </c>
      <c r="G28">
        <v>5000</v>
      </c>
      <c r="H28" t="s">
        <v>191</v>
      </c>
      <c r="I28" t="s">
        <v>191</v>
      </c>
      <c r="J28" t="s">
        <v>191</v>
      </c>
      <c r="K28" t="s">
        <v>191</v>
      </c>
      <c r="L28" t="s">
        <v>191</v>
      </c>
    </row>
    <row r="29" spans="1:12" x14ac:dyDescent="0.3">
      <c r="A29" t="s">
        <v>187</v>
      </c>
      <c r="B29" t="s">
        <v>648</v>
      </c>
      <c r="C29" t="s">
        <v>63</v>
      </c>
      <c r="D29" t="s">
        <v>749</v>
      </c>
      <c r="E29">
        <v>3000</v>
      </c>
      <c r="F29">
        <v>15000</v>
      </c>
      <c r="G29">
        <v>8000</v>
      </c>
      <c r="H29" t="s">
        <v>191</v>
      </c>
      <c r="I29" t="s">
        <v>657</v>
      </c>
      <c r="J29" t="s">
        <v>191</v>
      </c>
      <c r="K29" t="s">
        <v>191</v>
      </c>
      <c r="L29" t="s">
        <v>191</v>
      </c>
    </row>
    <row r="30" spans="1:12" x14ac:dyDescent="0.3">
      <c r="A30" t="s">
        <v>187</v>
      </c>
      <c r="B30" t="s">
        <v>649</v>
      </c>
      <c r="C30" t="s">
        <v>63</v>
      </c>
      <c r="D30" t="s">
        <v>795</v>
      </c>
      <c r="I30" t="s">
        <v>191</v>
      </c>
      <c r="J30" t="s">
        <v>191</v>
      </c>
      <c r="K30" t="s">
        <v>191</v>
      </c>
    </row>
    <row r="31" spans="1:12" x14ac:dyDescent="0.3">
      <c r="A31" t="s">
        <v>187</v>
      </c>
      <c r="B31" t="s">
        <v>650</v>
      </c>
      <c r="C31" t="s">
        <v>91</v>
      </c>
      <c r="D31" t="s">
        <v>752</v>
      </c>
      <c r="I31" t="s">
        <v>191</v>
      </c>
      <c r="J31" t="s">
        <v>191</v>
      </c>
      <c r="K31" t="s">
        <v>191</v>
      </c>
    </row>
    <row r="32" spans="1:12" x14ac:dyDescent="0.3">
      <c r="A32" t="s">
        <v>187</v>
      </c>
      <c r="B32" t="s">
        <v>651</v>
      </c>
      <c r="C32" t="s">
        <v>77</v>
      </c>
      <c r="D32" t="s">
        <v>754</v>
      </c>
      <c r="I32" t="s">
        <v>191</v>
      </c>
      <c r="J32" t="s">
        <v>191</v>
      </c>
      <c r="K32" t="s">
        <v>191</v>
      </c>
    </row>
    <row r="33" spans="1:12" x14ac:dyDescent="0.3">
      <c r="A33" t="s">
        <v>652</v>
      </c>
      <c r="B33" t="s">
        <v>755</v>
      </c>
      <c r="C33" t="s">
        <v>20</v>
      </c>
      <c r="D33" t="s">
        <v>796</v>
      </c>
      <c r="E33">
        <v>5000</v>
      </c>
      <c r="F33">
        <v>30000</v>
      </c>
      <c r="G33">
        <v>10000</v>
      </c>
      <c r="H33" t="s">
        <v>191</v>
      </c>
      <c r="I33" t="s">
        <v>191</v>
      </c>
      <c r="J33" t="s">
        <v>191</v>
      </c>
      <c r="K33" t="s">
        <v>191</v>
      </c>
      <c r="L33" t="s">
        <v>191</v>
      </c>
    </row>
    <row r="34" spans="1:12" x14ac:dyDescent="0.3">
      <c r="A34" t="s">
        <v>652</v>
      </c>
      <c r="B34" t="s">
        <v>653</v>
      </c>
      <c r="C34" t="s">
        <v>63</v>
      </c>
      <c r="D34" t="s">
        <v>797</v>
      </c>
      <c r="E34">
        <v>5000</v>
      </c>
      <c r="F34">
        <v>30000</v>
      </c>
      <c r="G34">
        <v>15000</v>
      </c>
      <c r="H34" t="s">
        <v>191</v>
      </c>
      <c r="I34" t="s">
        <v>191</v>
      </c>
      <c r="J34" t="s">
        <v>191</v>
      </c>
      <c r="K34" t="s">
        <v>191</v>
      </c>
      <c r="L34" t="s">
        <v>191</v>
      </c>
    </row>
    <row r="35" spans="1:12" x14ac:dyDescent="0.3">
      <c r="A35" t="s">
        <v>184</v>
      </c>
      <c r="B35" t="s">
        <v>654</v>
      </c>
      <c r="C35" t="s">
        <v>36</v>
      </c>
      <c r="D35" t="s">
        <v>827</v>
      </c>
      <c r="E35">
        <v>22500</v>
      </c>
      <c r="F35">
        <v>180000</v>
      </c>
      <c r="G35">
        <v>75000</v>
      </c>
      <c r="H35" t="s">
        <v>191</v>
      </c>
      <c r="I35" t="s">
        <v>191</v>
      </c>
      <c r="J35" t="s">
        <v>191</v>
      </c>
      <c r="K35" t="s">
        <v>191</v>
      </c>
      <c r="L35" t="s">
        <v>191</v>
      </c>
    </row>
    <row r="36" spans="1:12" x14ac:dyDescent="0.3">
      <c r="A36" t="s">
        <v>184</v>
      </c>
      <c r="B36" t="s">
        <v>655</v>
      </c>
      <c r="C36" t="s">
        <v>81</v>
      </c>
      <c r="D36" t="s">
        <v>828</v>
      </c>
      <c r="E36">
        <v>5000</v>
      </c>
      <c r="F36">
        <v>80000</v>
      </c>
      <c r="G36">
        <v>40000</v>
      </c>
      <c r="H36" t="s">
        <v>191</v>
      </c>
      <c r="I36" t="s">
        <v>191</v>
      </c>
      <c r="J36" t="s">
        <v>191</v>
      </c>
      <c r="K36" t="s">
        <v>191</v>
      </c>
      <c r="L36" t="s">
        <v>191</v>
      </c>
    </row>
    <row r="37" spans="1:12" x14ac:dyDescent="0.3">
      <c r="A37" t="s">
        <v>184</v>
      </c>
      <c r="B37" t="s">
        <v>656</v>
      </c>
      <c r="C37" t="s">
        <v>63</v>
      </c>
      <c r="D37" t="s">
        <v>829</v>
      </c>
      <c r="E37">
        <v>30000</v>
      </c>
      <c r="F37">
        <v>120000</v>
      </c>
      <c r="G37">
        <v>60000</v>
      </c>
      <c r="H37" t="s">
        <v>191</v>
      </c>
      <c r="I37" t="s">
        <v>622</v>
      </c>
      <c r="J37" t="s">
        <v>622</v>
      </c>
      <c r="K37" t="s">
        <v>657</v>
      </c>
      <c r="L37" t="s">
        <v>622</v>
      </c>
    </row>
    <row r="38" spans="1:12" x14ac:dyDescent="0.3">
      <c r="A38" t="s">
        <v>184</v>
      </c>
      <c r="B38" t="s">
        <v>658</v>
      </c>
      <c r="C38" t="s">
        <v>91</v>
      </c>
      <c r="D38" t="s">
        <v>830</v>
      </c>
      <c r="E38">
        <v>20000</v>
      </c>
      <c r="F38">
        <v>200000</v>
      </c>
      <c r="G38">
        <v>100000</v>
      </c>
      <c r="H38" t="s">
        <v>191</v>
      </c>
      <c r="I38" t="s">
        <v>191</v>
      </c>
      <c r="J38" t="s">
        <v>191</v>
      </c>
      <c r="K38" t="s">
        <v>622</v>
      </c>
      <c r="L38" t="s">
        <v>191</v>
      </c>
    </row>
    <row r="39" spans="1:12" x14ac:dyDescent="0.3">
      <c r="A39" t="s">
        <v>40</v>
      </c>
      <c r="B39" t="s">
        <v>659</v>
      </c>
      <c r="C39" t="s">
        <v>47</v>
      </c>
      <c r="D39" t="s">
        <v>831</v>
      </c>
      <c r="E39">
        <v>58333</v>
      </c>
      <c r="F39">
        <v>0</v>
      </c>
      <c r="G39">
        <v>20000</v>
      </c>
      <c r="H39" t="s">
        <v>191</v>
      </c>
      <c r="I39" t="s">
        <v>622</v>
      </c>
      <c r="J39" t="s">
        <v>622</v>
      </c>
      <c r="K39" t="s">
        <v>657</v>
      </c>
      <c r="L39" t="s">
        <v>622</v>
      </c>
    </row>
    <row r="40" spans="1:12" x14ac:dyDescent="0.3">
      <c r="A40" t="s">
        <v>40</v>
      </c>
      <c r="B40" t="s">
        <v>662</v>
      </c>
      <c r="C40" t="s">
        <v>47</v>
      </c>
      <c r="D40" t="s">
        <v>664</v>
      </c>
      <c r="E40">
        <v>29167</v>
      </c>
      <c r="F40">
        <v>0</v>
      </c>
      <c r="G40">
        <v>10000</v>
      </c>
      <c r="H40" t="s">
        <v>191</v>
      </c>
      <c r="I40" t="s">
        <v>191</v>
      </c>
      <c r="J40" t="s">
        <v>622</v>
      </c>
      <c r="K40" t="s">
        <v>657</v>
      </c>
      <c r="L40" t="s">
        <v>622</v>
      </c>
    </row>
    <row r="41" spans="1:12" x14ac:dyDescent="0.3">
      <c r="A41" t="s">
        <v>40</v>
      </c>
      <c r="B41" t="s">
        <v>665</v>
      </c>
      <c r="C41" t="s">
        <v>47</v>
      </c>
      <c r="D41" t="s">
        <v>758</v>
      </c>
      <c r="E41">
        <v>15000</v>
      </c>
      <c r="F41">
        <v>100000</v>
      </c>
      <c r="G41">
        <v>40000</v>
      </c>
      <c r="H41" t="s">
        <v>191</v>
      </c>
      <c r="I41" t="s">
        <v>191</v>
      </c>
      <c r="J41" t="s">
        <v>191</v>
      </c>
      <c r="K41" t="s">
        <v>622</v>
      </c>
      <c r="L41" t="s">
        <v>191</v>
      </c>
    </row>
    <row r="42" spans="1:12" x14ac:dyDescent="0.3">
      <c r="A42" t="s">
        <v>40</v>
      </c>
      <c r="B42" t="s">
        <v>667</v>
      </c>
      <c r="C42" t="s">
        <v>47</v>
      </c>
      <c r="D42" t="s">
        <v>832</v>
      </c>
      <c r="E42">
        <v>833</v>
      </c>
      <c r="F42">
        <v>6944</v>
      </c>
      <c r="G42">
        <v>4000</v>
      </c>
      <c r="H42" t="s">
        <v>191</v>
      </c>
      <c r="I42" t="s">
        <v>191</v>
      </c>
      <c r="J42" t="s">
        <v>191</v>
      </c>
      <c r="K42" t="s">
        <v>622</v>
      </c>
      <c r="L42" t="s">
        <v>191</v>
      </c>
    </row>
    <row r="43" spans="1:12" x14ac:dyDescent="0.3">
      <c r="A43" t="s">
        <v>40</v>
      </c>
      <c r="B43" t="s">
        <v>668</v>
      </c>
      <c r="C43" t="s">
        <v>16</v>
      </c>
      <c r="D43" t="s">
        <v>833</v>
      </c>
      <c r="E43">
        <v>45000</v>
      </c>
      <c r="F43">
        <v>100000</v>
      </c>
      <c r="G43">
        <v>60000</v>
      </c>
      <c r="H43" t="s">
        <v>191</v>
      </c>
      <c r="I43" t="s">
        <v>191</v>
      </c>
      <c r="J43" t="s">
        <v>191</v>
      </c>
      <c r="K43" t="s">
        <v>622</v>
      </c>
      <c r="L43" t="s">
        <v>191</v>
      </c>
    </row>
    <row r="44" spans="1:12" x14ac:dyDescent="0.3">
      <c r="A44" t="s">
        <v>40</v>
      </c>
      <c r="B44" t="s">
        <v>668</v>
      </c>
      <c r="C44" t="s">
        <v>47</v>
      </c>
      <c r="D44" t="s">
        <v>834</v>
      </c>
      <c r="H44" t="s">
        <v>191</v>
      </c>
      <c r="I44" t="s">
        <v>191</v>
      </c>
      <c r="J44" t="s">
        <v>191</v>
      </c>
      <c r="K44" t="s">
        <v>622</v>
      </c>
      <c r="L44" t="s">
        <v>191</v>
      </c>
    </row>
    <row r="45" spans="1:12" x14ac:dyDescent="0.3">
      <c r="A45" t="s">
        <v>40</v>
      </c>
      <c r="B45" t="s">
        <v>669</v>
      </c>
      <c r="C45" t="s">
        <v>36</v>
      </c>
      <c r="D45" t="s">
        <v>670</v>
      </c>
      <c r="E45">
        <v>3000</v>
      </c>
      <c r="F45">
        <v>30000</v>
      </c>
      <c r="G45">
        <v>15000</v>
      </c>
      <c r="H45" t="s">
        <v>191</v>
      </c>
      <c r="I45" t="s">
        <v>191</v>
      </c>
      <c r="J45" t="s">
        <v>191</v>
      </c>
      <c r="K45" t="s">
        <v>191</v>
      </c>
      <c r="L45" t="s">
        <v>191</v>
      </c>
    </row>
    <row r="46" spans="1:12" x14ac:dyDescent="0.3">
      <c r="A46" t="s">
        <v>40</v>
      </c>
      <c r="B46" t="s">
        <v>671</v>
      </c>
      <c r="C46" t="s">
        <v>63</v>
      </c>
      <c r="D46" t="s">
        <v>760</v>
      </c>
      <c r="I46" t="s">
        <v>191</v>
      </c>
      <c r="J46" t="s">
        <v>191</v>
      </c>
      <c r="K46" t="s">
        <v>191</v>
      </c>
    </row>
    <row r="47" spans="1:12" x14ac:dyDescent="0.3">
      <c r="A47" t="s">
        <v>40</v>
      </c>
      <c r="B47" t="s">
        <v>672</v>
      </c>
      <c r="C47" t="s">
        <v>63</v>
      </c>
      <c r="D47" t="s">
        <v>673</v>
      </c>
      <c r="E47">
        <v>30000</v>
      </c>
      <c r="F47">
        <v>60000</v>
      </c>
      <c r="G47">
        <v>40000</v>
      </c>
      <c r="H47" t="s">
        <v>622</v>
      </c>
      <c r="I47" t="s">
        <v>622</v>
      </c>
      <c r="J47" t="s">
        <v>622</v>
      </c>
      <c r="K47" t="s">
        <v>622</v>
      </c>
      <c r="L47" t="s">
        <v>622</v>
      </c>
    </row>
    <row r="48" spans="1:12" x14ac:dyDescent="0.3">
      <c r="A48" t="s">
        <v>40</v>
      </c>
      <c r="B48" t="s">
        <v>674</v>
      </c>
      <c r="C48" t="s">
        <v>20</v>
      </c>
      <c r="D48" t="s">
        <v>761</v>
      </c>
      <c r="E48">
        <v>10000</v>
      </c>
      <c r="F48">
        <v>30000</v>
      </c>
      <c r="G48">
        <v>15000</v>
      </c>
      <c r="H48" t="s">
        <v>622</v>
      </c>
      <c r="I48" t="s">
        <v>622</v>
      </c>
      <c r="J48" t="s">
        <v>622</v>
      </c>
      <c r="K48" t="s">
        <v>622</v>
      </c>
      <c r="L48" t="s">
        <v>622</v>
      </c>
    </row>
    <row r="49" spans="1:12" x14ac:dyDescent="0.3">
      <c r="A49" t="s">
        <v>40</v>
      </c>
      <c r="B49" t="s">
        <v>676</v>
      </c>
      <c r="C49" t="s">
        <v>36</v>
      </c>
      <c r="D49" t="s">
        <v>835</v>
      </c>
      <c r="E49">
        <v>5000</v>
      </c>
      <c r="F49">
        <v>30000</v>
      </c>
      <c r="G49">
        <v>10000</v>
      </c>
      <c r="H49" t="s">
        <v>622</v>
      </c>
      <c r="I49" t="s">
        <v>622</v>
      </c>
      <c r="J49" t="s">
        <v>622</v>
      </c>
      <c r="K49" t="s">
        <v>622</v>
      </c>
      <c r="L49" t="s">
        <v>622</v>
      </c>
    </row>
    <row r="50" spans="1:12" x14ac:dyDescent="0.3">
      <c r="A50" t="s">
        <v>186</v>
      </c>
      <c r="B50" t="s">
        <v>677</v>
      </c>
      <c r="C50" t="s">
        <v>111</v>
      </c>
      <c r="D50" t="s">
        <v>836</v>
      </c>
      <c r="E50">
        <v>8333</v>
      </c>
      <c r="F50">
        <v>62500</v>
      </c>
      <c r="G50">
        <v>30000</v>
      </c>
      <c r="H50" t="s">
        <v>191</v>
      </c>
      <c r="I50" t="s">
        <v>191</v>
      </c>
      <c r="J50" t="s">
        <v>191</v>
      </c>
      <c r="K50" t="s">
        <v>191</v>
      </c>
      <c r="L50" t="s">
        <v>622</v>
      </c>
    </row>
    <row r="51" spans="1:12" x14ac:dyDescent="0.3">
      <c r="A51" t="s">
        <v>186</v>
      </c>
      <c r="B51" t="s">
        <v>679</v>
      </c>
      <c r="C51" t="s">
        <v>36</v>
      </c>
      <c r="D51" t="s">
        <v>680</v>
      </c>
      <c r="E51">
        <v>5000</v>
      </c>
      <c r="F51">
        <v>50000</v>
      </c>
      <c r="G51">
        <v>20000</v>
      </c>
      <c r="H51" t="s">
        <v>191</v>
      </c>
      <c r="I51" t="s">
        <v>622</v>
      </c>
      <c r="J51" t="s">
        <v>622</v>
      </c>
      <c r="K51" t="s">
        <v>657</v>
      </c>
      <c r="L51" t="s">
        <v>622</v>
      </c>
    </row>
    <row r="52" spans="1:12" x14ac:dyDescent="0.3">
      <c r="A52" t="s">
        <v>186</v>
      </c>
      <c r="B52" t="s">
        <v>681</v>
      </c>
      <c r="C52" t="s">
        <v>63</v>
      </c>
      <c r="D52" t="s">
        <v>682</v>
      </c>
      <c r="E52">
        <v>1250</v>
      </c>
      <c r="F52">
        <v>15000</v>
      </c>
      <c r="G52">
        <v>8000</v>
      </c>
      <c r="H52" t="s">
        <v>191</v>
      </c>
      <c r="I52" t="s">
        <v>191</v>
      </c>
      <c r="J52" t="s">
        <v>191</v>
      </c>
      <c r="K52" t="s">
        <v>191</v>
      </c>
      <c r="L52" t="s">
        <v>622</v>
      </c>
    </row>
    <row r="53" spans="1:12" x14ac:dyDescent="0.3">
      <c r="A53" t="s">
        <v>186</v>
      </c>
      <c r="B53" t="s">
        <v>683</v>
      </c>
      <c r="C53" t="s">
        <v>63</v>
      </c>
      <c r="D53" t="s">
        <v>684</v>
      </c>
      <c r="E53">
        <v>10000</v>
      </c>
      <c r="F53">
        <v>30000</v>
      </c>
      <c r="G53">
        <v>20000</v>
      </c>
      <c r="H53" t="s">
        <v>191</v>
      </c>
      <c r="I53" t="s">
        <v>191</v>
      </c>
      <c r="J53" t="s">
        <v>191</v>
      </c>
      <c r="K53" t="s">
        <v>191</v>
      </c>
      <c r="L53" t="s">
        <v>191</v>
      </c>
    </row>
    <row r="54" spans="1:12" x14ac:dyDescent="0.3">
      <c r="A54" t="s">
        <v>186</v>
      </c>
      <c r="B54" t="s">
        <v>685</v>
      </c>
      <c r="C54" t="s">
        <v>63</v>
      </c>
      <c r="D54" t="s">
        <v>686</v>
      </c>
      <c r="E54">
        <v>8667</v>
      </c>
      <c r="F54">
        <v>41667</v>
      </c>
      <c r="G54">
        <v>20000</v>
      </c>
      <c r="H54" t="s">
        <v>191</v>
      </c>
      <c r="I54" t="s">
        <v>191</v>
      </c>
      <c r="J54" t="s">
        <v>191</v>
      </c>
      <c r="K54" t="s">
        <v>191</v>
      </c>
      <c r="L54" t="s">
        <v>191</v>
      </c>
    </row>
    <row r="55" spans="1:12" x14ac:dyDescent="0.3">
      <c r="A55" t="s">
        <v>186</v>
      </c>
      <c r="B55" t="s">
        <v>687</v>
      </c>
      <c r="C55" t="s">
        <v>63</v>
      </c>
      <c r="D55" t="s">
        <v>762</v>
      </c>
      <c r="E55">
        <v>30000</v>
      </c>
      <c r="F55">
        <v>0</v>
      </c>
      <c r="G55">
        <v>10000</v>
      </c>
      <c r="H55" t="s">
        <v>191</v>
      </c>
      <c r="I55" t="s">
        <v>191</v>
      </c>
      <c r="J55" t="s">
        <v>191</v>
      </c>
      <c r="K55" t="s">
        <v>191</v>
      </c>
      <c r="L55" t="s">
        <v>622</v>
      </c>
    </row>
    <row r="56" spans="1:12" x14ac:dyDescent="0.3">
      <c r="A56" t="s">
        <v>186</v>
      </c>
      <c r="B56" t="s">
        <v>689</v>
      </c>
      <c r="C56" t="s">
        <v>130</v>
      </c>
      <c r="D56" t="s">
        <v>763</v>
      </c>
      <c r="E56">
        <v>0</v>
      </c>
      <c r="F56">
        <v>110000</v>
      </c>
      <c r="G56">
        <v>55000</v>
      </c>
      <c r="H56" t="s">
        <v>191</v>
      </c>
      <c r="I56" t="s">
        <v>191</v>
      </c>
      <c r="J56" t="s">
        <v>191</v>
      </c>
      <c r="K56" t="s">
        <v>191</v>
      </c>
      <c r="L56" t="s">
        <v>191</v>
      </c>
    </row>
    <row r="57" spans="1:12" x14ac:dyDescent="0.3">
      <c r="A57" t="s">
        <v>186</v>
      </c>
      <c r="B57" t="s">
        <v>690</v>
      </c>
      <c r="C57" t="s">
        <v>178</v>
      </c>
      <c r="D57" t="s">
        <v>765</v>
      </c>
      <c r="E57">
        <v>5000</v>
      </c>
      <c r="F57">
        <v>30000</v>
      </c>
      <c r="G57">
        <v>10000</v>
      </c>
      <c r="H57" t="s">
        <v>191</v>
      </c>
      <c r="I57" t="s">
        <v>191</v>
      </c>
      <c r="J57" t="s">
        <v>191</v>
      </c>
      <c r="K57" t="s">
        <v>191</v>
      </c>
      <c r="L57" t="s">
        <v>191</v>
      </c>
    </row>
    <row r="58" spans="1:12" x14ac:dyDescent="0.3">
      <c r="A58" t="s">
        <v>34</v>
      </c>
      <c r="B58" t="s">
        <v>691</v>
      </c>
      <c r="C58" t="s">
        <v>11</v>
      </c>
      <c r="D58" t="s">
        <v>692</v>
      </c>
      <c r="E58">
        <v>1500</v>
      </c>
      <c r="F58">
        <v>15000</v>
      </c>
      <c r="G58">
        <v>15000</v>
      </c>
      <c r="H58" t="s">
        <v>191</v>
      </c>
      <c r="I58" t="s">
        <v>191</v>
      </c>
      <c r="J58" t="s">
        <v>191</v>
      </c>
      <c r="K58" t="s">
        <v>191</v>
      </c>
      <c r="L58" t="s">
        <v>191</v>
      </c>
    </row>
    <row r="59" spans="1:12" x14ac:dyDescent="0.3">
      <c r="A59" t="s">
        <v>34</v>
      </c>
      <c r="B59" t="s">
        <v>693</v>
      </c>
      <c r="C59" t="s">
        <v>81</v>
      </c>
      <c r="D59" t="s">
        <v>694</v>
      </c>
      <c r="E59">
        <v>500</v>
      </c>
      <c r="F59">
        <v>10000</v>
      </c>
      <c r="G59">
        <v>5000</v>
      </c>
      <c r="H59" t="s">
        <v>191</v>
      </c>
      <c r="I59" t="s">
        <v>191</v>
      </c>
      <c r="J59" t="s">
        <v>191</v>
      </c>
      <c r="K59" t="s">
        <v>191</v>
      </c>
      <c r="L59" t="s">
        <v>191</v>
      </c>
    </row>
    <row r="60" spans="1:12" x14ac:dyDescent="0.3">
      <c r="A60" t="s">
        <v>34</v>
      </c>
      <c r="B60" t="s">
        <v>695</v>
      </c>
      <c r="C60" t="s">
        <v>111</v>
      </c>
      <c r="D60" t="s">
        <v>696</v>
      </c>
      <c r="E60">
        <v>200</v>
      </c>
      <c r="F60">
        <v>10000</v>
      </c>
      <c r="G60">
        <v>5000</v>
      </c>
      <c r="H60" t="s">
        <v>191</v>
      </c>
      <c r="I60" t="s">
        <v>191</v>
      </c>
      <c r="J60" t="s">
        <v>191</v>
      </c>
      <c r="K60" t="s">
        <v>191</v>
      </c>
      <c r="L60" t="s">
        <v>622</v>
      </c>
    </row>
    <row r="61" spans="1:12" x14ac:dyDescent="0.3">
      <c r="A61" t="s">
        <v>34</v>
      </c>
      <c r="B61" t="s">
        <v>697</v>
      </c>
      <c r="C61" t="s">
        <v>111</v>
      </c>
      <c r="D61" t="s">
        <v>696</v>
      </c>
      <c r="E61">
        <v>2000</v>
      </c>
      <c r="F61">
        <v>15000</v>
      </c>
      <c r="G61">
        <v>2000</v>
      </c>
      <c r="H61" t="s">
        <v>191</v>
      </c>
      <c r="I61" t="s">
        <v>191</v>
      </c>
      <c r="J61" t="s">
        <v>191</v>
      </c>
      <c r="K61" t="s">
        <v>191</v>
      </c>
      <c r="L61" t="s">
        <v>191</v>
      </c>
    </row>
    <row r="62" spans="1:12" x14ac:dyDescent="0.3">
      <c r="A62" t="s">
        <v>34</v>
      </c>
      <c r="B62" t="s">
        <v>698</v>
      </c>
      <c r="C62" t="s">
        <v>36</v>
      </c>
      <c r="D62" t="s">
        <v>699</v>
      </c>
      <c r="E62">
        <v>300</v>
      </c>
      <c r="F62">
        <v>3000</v>
      </c>
      <c r="G62">
        <v>2000</v>
      </c>
      <c r="H62" t="s">
        <v>191</v>
      </c>
      <c r="I62" t="s">
        <v>191</v>
      </c>
      <c r="J62" t="s">
        <v>191</v>
      </c>
      <c r="K62" t="s">
        <v>191</v>
      </c>
      <c r="L62" t="s">
        <v>191</v>
      </c>
    </row>
    <row r="63" spans="1:12" x14ac:dyDescent="0.3">
      <c r="A63" t="s">
        <v>34</v>
      </c>
      <c r="B63" t="s">
        <v>700</v>
      </c>
      <c r="C63" t="s">
        <v>77</v>
      </c>
      <c r="D63" t="s">
        <v>701</v>
      </c>
      <c r="E63">
        <v>11250</v>
      </c>
      <c r="F63">
        <v>20000</v>
      </c>
      <c r="G63">
        <v>15000</v>
      </c>
      <c r="H63" t="s">
        <v>191</v>
      </c>
      <c r="I63" t="s">
        <v>191</v>
      </c>
      <c r="J63" t="s">
        <v>191</v>
      </c>
      <c r="K63" t="s">
        <v>191</v>
      </c>
      <c r="L63" t="s">
        <v>622</v>
      </c>
    </row>
    <row r="64" spans="1:12" x14ac:dyDescent="0.3">
      <c r="A64" t="s">
        <v>34</v>
      </c>
      <c r="B64" t="s">
        <v>702</v>
      </c>
      <c r="C64" t="s">
        <v>111</v>
      </c>
      <c r="D64" t="s">
        <v>837</v>
      </c>
      <c r="E64">
        <v>1000</v>
      </c>
      <c r="F64">
        <v>0</v>
      </c>
      <c r="G64">
        <v>0</v>
      </c>
      <c r="H64" t="s">
        <v>191</v>
      </c>
      <c r="I64" t="s">
        <v>191</v>
      </c>
      <c r="J64" t="s">
        <v>191</v>
      </c>
      <c r="K64" t="s">
        <v>191</v>
      </c>
      <c r="L64" t="s">
        <v>191</v>
      </c>
    </row>
    <row r="65" spans="1:12" x14ac:dyDescent="0.3">
      <c r="A65" t="s">
        <v>705</v>
      </c>
      <c r="B65" t="s">
        <v>706</v>
      </c>
      <c r="C65" t="s">
        <v>63</v>
      </c>
      <c r="D65" t="s">
        <v>838</v>
      </c>
      <c r="E65">
        <v>5000</v>
      </c>
      <c r="F65">
        <v>50000</v>
      </c>
      <c r="G65">
        <v>15000</v>
      </c>
      <c r="H65" t="s">
        <v>191</v>
      </c>
      <c r="I65" t="s">
        <v>191</v>
      </c>
      <c r="J65" t="s">
        <v>191</v>
      </c>
      <c r="K65" t="s">
        <v>622</v>
      </c>
      <c r="L65" t="s">
        <v>622</v>
      </c>
    </row>
    <row r="66" spans="1:12" x14ac:dyDescent="0.3">
      <c r="A66" t="s">
        <v>707</v>
      </c>
      <c r="B66" t="s">
        <v>708</v>
      </c>
      <c r="C66" t="s">
        <v>63</v>
      </c>
      <c r="D66" t="s">
        <v>800</v>
      </c>
      <c r="E66">
        <v>30000</v>
      </c>
      <c r="F66">
        <v>100000</v>
      </c>
      <c r="G66">
        <v>50000</v>
      </c>
      <c r="H66" t="s">
        <v>191</v>
      </c>
      <c r="I66" t="s">
        <v>191</v>
      </c>
      <c r="J66" t="s">
        <v>191</v>
      </c>
      <c r="K66" t="s">
        <v>191</v>
      </c>
      <c r="L66" t="s">
        <v>191</v>
      </c>
    </row>
    <row r="67" spans="1:12" x14ac:dyDescent="0.3">
      <c r="A67" t="s">
        <v>707</v>
      </c>
      <c r="B67" t="s">
        <v>709</v>
      </c>
      <c r="C67" t="s">
        <v>63</v>
      </c>
      <c r="D67" t="s">
        <v>768</v>
      </c>
      <c r="E67">
        <v>10000</v>
      </c>
      <c r="F67">
        <v>50000</v>
      </c>
      <c r="G67">
        <v>20000</v>
      </c>
      <c r="H67" t="s">
        <v>191</v>
      </c>
      <c r="I67" t="s">
        <v>191</v>
      </c>
      <c r="J67" t="s">
        <v>191</v>
      </c>
      <c r="K67" t="s">
        <v>191</v>
      </c>
      <c r="L67" t="s">
        <v>191</v>
      </c>
    </row>
    <row r="68" spans="1:12" x14ac:dyDescent="0.3">
      <c r="A68" t="s">
        <v>707</v>
      </c>
      <c r="B68" t="s">
        <v>710</v>
      </c>
      <c r="C68" t="s">
        <v>16</v>
      </c>
      <c r="D68" t="s">
        <v>711</v>
      </c>
      <c r="E68">
        <v>50000</v>
      </c>
      <c r="F68">
        <v>200000</v>
      </c>
      <c r="G68">
        <v>80000</v>
      </c>
      <c r="H68" t="s">
        <v>622</v>
      </c>
      <c r="I68" t="s">
        <v>622</v>
      </c>
      <c r="J68" t="s">
        <v>191</v>
      </c>
      <c r="K68" t="s">
        <v>191</v>
      </c>
      <c r="L68" t="s">
        <v>622</v>
      </c>
    </row>
    <row r="69" spans="1:12" x14ac:dyDescent="0.3">
      <c r="A69" t="s">
        <v>707</v>
      </c>
      <c r="B69" t="s">
        <v>769</v>
      </c>
      <c r="C69" t="s">
        <v>25</v>
      </c>
      <c r="D69" t="s">
        <v>801</v>
      </c>
      <c r="E69">
        <v>5000</v>
      </c>
      <c r="F69">
        <v>50000</v>
      </c>
      <c r="G69">
        <v>20000</v>
      </c>
      <c r="H69" t="s">
        <v>191</v>
      </c>
      <c r="I69" t="s">
        <v>622</v>
      </c>
      <c r="J69" t="s">
        <v>191</v>
      </c>
      <c r="K69" t="s">
        <v>622</v>
      </c>
      <c r="L69" t="s">
        <v>622</v>
      </c>
    </row>
    <row r="70" spans="1:12" x14ac:dyDescent="0.3">
      <c r="A70" t="s">
        <v>712</v>
      </c>
      <c r="B70" t="s">
        <v>713</v>
      </c>
      <c r="C70" t="s">
        <v>25</v>
      </c>
      <c r="D70" t="s">
        <v>772</v>
      </c>
      <c r="E70">
        <v>20000</v>
      </c>
      <c r="F70">
        <v>80000</v>
      </c>
      <c r="G70">
        <v>30000</v>
      </c>
      <c r="H70" t="s">
        <v>191</v>
      </c>
      <c r="I70" t="s">
        <v>191</v>
      </c>
      <c r="J70" t="s">
        <v>191</v>
      </c>
      <c r="K70" t="s">
        <v>191</v>
      </c>
      <c r="L70" t="s">
        <v>191</v>
      </c>
    </row>
    <row r="71" spans="1:12" x14ac:dyDescent="0.3">
      <c r="A71" t="s">
        <v>712</v>
      </c>
      <c r="B71" t="s">
        <v>714</v>
      </c>
      <c r="C71" t="s">
        <v>16</v>
      </c>
      <c r="D71" t="s">
        <v>774</v>
      </c>
      <c r="E71">
        <v>50000</v>
      </c>
      <c r="F71">
        <v>200000</v>
      </c>
      <c r="G71">
        <v>80000</v>
      </c>
      <c r="H71" t="s">
        <v>191</v>
      </c>
      <c r="I71" t="s">
        <v>191</v>
      </c>
      <c r="J71" t="s">
        <v>191</v>
      </c>
      <c r="K71" t="s">
        <v>622</v>
      </c>
      <c r="L71" t="s">
        <v>191</v>
      </c>
    </row>
    <row r="72" spans="1:12" x14ac:dyDescent="0.3">
      <c r="A72" t="s">
        <v>715</v>
      </c>
      <c r="B72" t="s">
        <v>716</v>
      </c>
      <c r="C72" t="s">
        <v>47</v>
      </c>
      <c r="D72" t="s">
        <v>776</v>
      </c>
      <c r="K72" t="s">
        <v>191</v>
      </c>
    </row>
    <row r="73" spans="1:12" x14ac:dyDescent="0.3">
      <c r="A73" t="s">
        <v>715</v>
      </c>
      <c r="B73" t="s">
        <v>717</v>
      </c>
      <c r="C73" t="s">
        <v>104</v>
      </c>
      <c r="D73" t="s">
        <v>802</v>
      </c>
      <c r="K73" t="s">
        <v>191</v>
      </c>
    </row>
    <row r="74" spans="1:12" x14ac:dyDescent="0.3">
      <c r="A74" t="s">
        <v>715</v>
      </c>
      <c r="B74" t="s">
        <v>718</v>
      </c>
      <c r="C74" t="s">
        <v>47</v>
      </c>
      <c r="D74" t="s">
        <v>778</v>
      </c>
      <c r="K74" t="s">
        <v>191</v>
      </c>
    </row>
    <row r="75" spans="1:12" x14ac:dyDescent="0.3">
      <c r="A75" t="s">
        <v>72</v>
      </c>
      <c r="B75" t="s">
        <v>719</v>
      </c>
      <c r="C75" t="s">
        <v>149</v>
      </c>
      <c r="D75" t="s">
        <v>839</v>
      </c>
      <c r="E75">
        <v>0</v>
      </c>
      <c r="F75">
        <v>300000</v>
      </c>
      <c r="G75">
        <v>150000</v>
      </c>
      <c r="H75" t="s">
        <v>191</v>
      </c>
      <c r="I75" t="s">
        <v>191</v>
      </c>
      <c r="J75" t="s">
        <v>191</v>
      </c>
      <c r="K75" t="s">
        <v>191</v>
      </c>
      <c r="L75" t="s">
        <v>191</v>
      </c>
    </row>
    <row r="76" spans="1:12" x14ac:dyDescent="0.3">
      <c r="A76" t="s">
        <v>72</v>
      </c>
      <c r="B76" t="s">
        <v>721</v>
      </c>
      <c r="C76" t="s">
        <v>178</v>
      </c>
      <c r="D76" t="s">
        <v>780</v>
      </c>
      <c r="E76">
        <v>0</v>
      </c>
      <c r="F76">
        <v>50000</v>
      </c>
      <c r="G76">
        <v>20000</v>
      </c>
      <c r="H76" t="s">
        <v>191</v>
      </c>
      <c r="I76" t="s">
        <v>191</v>
      </c>
      <c r="J76" t="s">
        <v>191</v>
      </c>
      <c r="K76" t="s">
        <v>191</v>
      </c>
      <c r="L76" t="s">
        <v>191</v>
      </c>
    </row>
    <row r="77" spans="1:12" x14ac:dyDescent="0.3">
      <c r="A77" t="s">
        <v>72</v>
      </c>
      <c r="B77" t="s">
        <v>723</v>
      </c>
      <c r="C77" t="s">
        <v>74</v>
      </c>
      <c r="D77" t="s">
        <v>725</v>
      </c>
      <c r="E77">
        <v>0</v>
      </c>
      <c r="F77">
        <v>150000</v>
      </c>
      <c r="G77">
        <v>50000</v>
      </c>
      <c r="H77" t="s">
        <v>191</v>
      </c>
      <c r="I77" t="s">
        <v>191</v>
      </c>
      <c r="J77" t="s">
        <v>191</v>
      </c>
      <c r="K77" t="s">
        <v>191</v>
      </c>
      <c r="L77" t="s">
        <v>191</v>
      </c>
    </row>
    <row r="78" spans="1:12" x14ac:dyDescent="0.3">
      <c r="A78" t="s">
        <v>72</v>
      </c>
      <c r="B78" t="s">
        <v>726</v>
      </c>
      <c r="C78" t="s">
        <v>63</v>
      </c>
      <c r="D78" t="s">
        <v>803</v>
      </c>
      <c r="E78">
        <v>30000</v>
      </c>
      <c r="F78">
        <v>100000</v>
      </c>
      <c r="G78">
        <v>60000</v>
      </c>
      <c r="H78" t="s">
        <v>191</v>
      </c>
      <c r="I78" t="s">
        <v>191</v>
      </c>
      <c r="J78" t="s">
        <v>191</v>
      </c>
      <c r="K78" t="s">
        <v>191</v>
      </c>
      <c r="L78" t="s">
        <v>191</v>
      </c>
    </row>
    <row r="79" spans="1:12" x14ac:dyDescent="0.3">
      <c r="A79" t="s">
        <v>72</v>
      </c>
      <c r="B79" t="s">
        <v>782</v>
      </c>
      <c r="C79" t="s">
        <v>16</v>
      </c>
      <c r="D79" t="s">
        <v>804</v>
      </c>
      <c r="E79">
        <v>0</v>
      </c>
      <c r="F79">
        <v>50000</v>
      </c>
      <c r="G79">
        <v>10000</v>
      </c>
      <c r="H79" t="s">
        <v>191</v>
      </c>
      <c r="I79" t="s">
        <v>191</v>
      </c>
      <c r="J79" t="s">
        <v>191</v>
      </c>
      <c r="K79" t="s">
        <v>191</v>
      </c>
      <c r="L79" t="s">
        <v>191</v>
      </c>
    </row>
    <row r="80" spans="1:12" x14ac:dyDescent="0.3">
      <c r="A80" t="s">
        <v>72</v>
      </c>
      <c r="B80" t="s">
        <v>727</v>
      </c>
      <c r="C80" t="s">
        <v>178</v>
      </c>
      <c r="D80" t="s">
        <v>729</v>
      </c>
      <c r="E80">
        <v>0</v>
      </c>
      <c r="F80">
        <v>30000</v>
      </c>
      <c r="G80">
        <v>5000</v>
      </c>
      <c r="H80" t="s">
        <v>191</v>
      </c>
      <c r="I80" t="s">
        <v>191</v>
      </c>
      <c r="J80" t="s">
        <v>191</v>
      </c>
      <c r="K80" t="s">
        <v>191</v>
      </c>
      <c r="L80" t="s">
        <v>191</v>
      </c>
    </row>
    <row r="81" spans="1:12" x14ac:dyDescent="0.3">
      <c r="A81" t="s">
        <v>72</v>
      </c>
      <c r="B81" t="s">
        <v>730</v>
      </c>
      <c r="C81" t="s">
        <v>16</v>
      </c>
      <c r="D81" t="s">
        <v>731</v>
      </c>
      <c r="K81" t="s">
        <v>191</v>
      </c>
    </row>
    <row r="82" spans="1:12" x14ac:dyDescent="0.3">
      <c r="A82" t="s">
        <v>72</v>
      </c>
      <c r="B82" t="s">
        <v>784</v>
      </c>
      <c r="C82" t="s">
        <v>16</v>
      </c>
      <c r="D82" t="s">
        <v>785</v>
      </c>
      <c r="E82">
        <v>5000</v>
      </c>
      <c r="F82">
        <v>30000</v>
      </c>
      <c r="G82">
        <v>10000</v>
      </c>
      <c r="H82" t="s">
        <v>191</v>
      </c>
      <c r="I82" t="s">
        <v>191</v>
      </c>
      <c r="J82" t="s">
        <v>191</v>
      </c>
      <c r="K82" t="s">
        <v>191</v>
      </c>
      <c r="L82" t="s">
        <v>191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7B14-9849-4964-9E60-8CC2AAA70804}">
  <dimension ref="A1:BO84"/>
  <sheetViews>
    <sheetView zoomScale="80" zoomScaleNormal="80" workbookViewId="0">
      <pane xSplit="5" ySplit="1" topLeftCell="F53" activePane="bottomRight" state="frozenSplit"/>
      <selection pane="topRight" activeCell="E1" sqref="E1"/>
      <selection pane="bottomLeft" activeCell="A2" sqref="A2"/>
      <selection pane="bottomRight" activeCell="D82" sqref="D82"/>
    </sheetView>
  </sheetViews>
  <sheetFormatPr defaultRowHeight="16.5" x14ac:dyDescent="0.3"/>
  <cols>
    <col min="1" max="1" width="9" customWidth="1"/>
    <col min="2" max="2" width="7.375" customWidth="1"/>
    <col min="3" max="3" width="21.25" customWidth="1"/>
    <col min="4" max="4" width="16.125" bestFit="1" customWidth="1"/>
    <col min="5" max="7" width="56" customWidth="1"/>
    <col min="8" max="8" width="5.5" bestFit="1" customWidth="1"/>
    <col min="9" max="9" width="12" customWidth="1"/>
    <col min="10" max="11" width="16.25" customWidth="1"/>
    <col min="12" max="12" width="14.125" customWidth="1"/>
    <col min="13" max="13" width="12" customWidth="1"/>
    <col min="14" max="14" width="18.25" customWidth="1"/>
    <col min="15" max="15" width="15.25" customWidth="1"/>
    <col min="16" max="17" width="10.875" customWidth="1"/>
    <col min="18" max="18" width="12" customWidth="1"/>
    <col min="19" max="20" width="16.25" customWidth="1"/>
    <col min="21" max="21" width="14.125" customWidth="1"/>
    <col min="22" max="22" width="12" customWidth="1"/>
    <col min="23" max="23" width="18.25" customWidth="1"/>
    <col min="24" max="24" width="22.5" customWidth="1"/>
    <col min="25" max="26" width="10" customWidth="1"/>
    <col min="27" max="27" width="12" bestFit="1" customWidth="1"/>
    <col min="28" max="29" width="16.25" bestFit="1" customWidth="1"/>
    <col min="30" max="30" width="14.125" bestFit="1" customWidth="1"/>
    <col min="31" max="31" width="12" bestFit="1" customWidth="1"/>
    <col min="32" max="32" width="13.375" customWidth="1"/>
    <col min="33" max="33" width="22.5" bestFit="1" customWidth="1"/>
    <col min="34" max="34" width="12.375" customWidth="1"/>
    <col min="35" max="35" width="7.375" bestFit="1" customWidth="1"/>
    <col min="36" max="36" width="11.5" customWidth="1"/>
    <col min="37" max="37" width="11.75" customWidth="1"/>
    <col min="38" max="38" width="10.5" bestFit="1" customWidth="1"/>
    <col min="39" max="39" width="10.125" customWidth="1"/>
    <col min="60" max="60" width="17" customWidth="1"/>
  </cols>
  <sheetData>
    <row r="1" spans="1:67" s="30" customFormat="1" x14ac:dyDescent="0.3">
      <c r="B1" s="30" t="s">
        <v>584</v>
      </c>
      <c r="C1" s="30" t="s">
        <v>585</v>
      </c>
      <c r="D1" s="30" t="s">
        <v>822</v>
      </c>
      <c r="E1" s="30" t="s">
        <v>889</v>
      </c>
      <c r="F1" s="30" t="s">
        <v>890</v>
      </c>
      <c r="G1" s="30" t="s">
        <v>891</v>
      </c>
      <c r="H1" s="30" t="s">
        <v>846</v>
      </c>
      <c r="I1" s="30" t="s">
        <v>840</v>
      </c>
      <c r="J1" s="30" t="s">
        <v>841</v>
      </c>
      <c r="K1" s="30" t="s">
        <v>861</v>
      </c>
      <c r="L1" s="30" t="s">
        <v>847</v>
      </c>
      <c r="M1" s="30" t="s">
        <v>848</v>
      </c>
      <c r="N1" s="30" t="s">
        <v>855</v>
      </c>
      <c r="O1" s="30" t="s">
        <v>856</v>
      </c>
      <c r="P1" s="30" t="s">
        <v>588</v>
      </c>
      <c r="Q1" s="30" t="s">
        <v>954</v>
      </c>
      <c r="R1" s="30" t="s">
        <v>842</v>
      </c>
      <c r="S1" s="30" t="s">
        <v>843</v>
      </c>
      <c r="T1" s="30" t="s">
        <v>849</v>
      </c>
      <c r="U1" s="30" t="s">
        <v>850</v>
      </c>
      <c r="V1" s="30" t="s">
        <v>851</v>
      </c>
      <c r="W1" s="30" t="s">
        <v>857</v>
      </c>
      <c r="X1" s="30" t="s">
        <v>858</v>
      </c>
      <c r="Y1" s="30" t="s">
        <v>589</v>
      </c>
      <c r="Z1" s="30" t="s">
        <v>964</v>
      </c>
      <c r="AA1" s="30" t="s">
        <v>844</v>
      </c>
      <c r="AB1" s="30" t="s">
        <v>845</v>
      </c>
      <c r="AC1" s="30" t="s">
        <v>852</v>
      </c>
      <c r="AD1" s="30" t="s">
        <v>853</v>
      </c>
      <c r="AE1" s="30" t="s">
        <v>854</v>
      </c>
      <c r="AF1" s="30" t="s">
        <v>859</v>
      </c>
      <c r="AG1" s="30" t="s">
        <v>860</v>
      </c>
      <c r="AH1" s="30" t="s">
        <v>590</v>
      </c>
      <c r="AI1" t="s">
        <v>862</v>
      </c>
      <c r="AJ1" t="s">
        <v>863</v>
      </c>
      <c r="AK1" t="s">
        <v>864</v>
      </c>
      <c r="AL1" t="s">
        <v>865</v>
      </c>
      <c r="AM1" t="s">
        <v>866</v>
      </c>
      <c r="AN1" s="30" t="s">
        <v>867</v>
      </c>
      <c r="AO1" s="30" t="s">
        <v>868</v>
      </c>
      <c r="AP1" s="30" t="s">
        <v>869</v>
      </c>
      <c r="AQ1" s="30" t="s">
        <v>870</v>
      </c>
      <c r="AR1" s="30" t="s">
        <v>871</v>
      </c>
      <c r="AS1" s="30" t="s">
        <v>872</v>
      </c>
      <c r="AT1" s="30" t="s">
        <v>873</v>
      </c>
      <c r="AU1" s="30" t="s">
        <v>874</v>
      </c>
      <c r="AV1" s="30" t="s">
        <v>875</v>
      </c>
      <c r="AW1" s="30" t="s">
        <v>876</v>
      </c>
      <c r="AX1" s="30" t="s">
        <v>877</v>
      </c>
      <c r="AY1" s="30" t="s">
        <v>878</v>
      </c>
      <c r="AZ1" s="30" t="s">
        <v>879</v>
      </c>
      <c r="BA1" s="30" t="s">
        <v>880</v>
      </c>
      <c r="BB1" s="30" t="s">
        <v>881</v>
      </c>
      <c r="BC1" s="30" t="s">
        <v>882</v>
      </c>
      <c r="BD1" s="30" t="s">
        <v>883</v>
      </c>
      <c r="BE1" s="30" t="s">
        <v>884</v>
      </c>
      <c r="BF1" s="30" t="s">
        <v>885</v>
      </c>
      <c r="BG1" s="30" t="s">
        <v>886</v>
      </c>
      <c r="BH1" s="30" t="s">
        <v>887</v>
      </c>
      <c r="BI1" s="30" t="s">
        <v>888</v>
      </c>
      <c r="BJ1" s="30" t="s">
        <v>971</v>
      </c>
      <c r="BK1" s="30" t="s">
        <v>972</v>
      </c>
      <c r="BL1" s="30" t="s">
        <v>973</v>
      </c>
      <c r="BM1" s="30" t="s">
        <v>974</v>
      </c>
      <c r="BN1" s="30" t="s">
        <v>975</v>
      </c>
      <c r="BO1" s="30" t="s">
        <v>976</v>
      </c>
    </row>
    <row r="2" spans="1:67" x14ac:dyDescent="0.3">
      <c r="A2">
        <v>1</v>
      </c>
      <c r="B2" t="s">
        <v>596</v>
      </c>
      <c r="C2" t="s">
        <v>600</v>
      </c>
      <c r="D2" t="s">
        <v>20</v>
      </c>
      <c r="E2" t="s">
        <v>732</v>
      </c>
      <c r="F2" t="s">
        <v>267</v>
      </c>
      <c r="G2" t="s">
        <v>435</v>
      </c>
      <c r="H2">
        <v>4</v>
      </c>
      <c r="I2">
        <v>250000</v>
      </c>
      <c r="J2">
        <v>7</v>
      </c>
      <c r="K2">
        <v>210</v>
      </c>
      <c r="L2">
        <v>0.25</v>
      </c>
      <c r="M2">
        <v>120</v>
      </c>
      <c r="P2">
        <f t="shared" ref="P2:P37" si="0">IF($H2=1,IF(AND(I2&lt;&gt;"",J2&lt;&gt;""),I2/J2/12,""),IF($H2=2,IF(AND(K2&lt;&gt;"",L2&lt;&gt;"",M2&lt;&gt;""),K2*L2*M2,""),IF($H2=3,IF(AND(N2&lt;&gt;"",O2&lt;&gt;""),N2/O2/12,""),IF($H2=4,IF(AND(I2&lt;&gt;"",J2&lt;&gt;""),I2/J2/12,0)+IF(AND(K2&lt;&gt;"",L2&lt;&gt;"",M2&lt;&gt;""),K2*L2*M2,0),IF($H2=5,IF(AND(I2&lt;&gt;"",J2&lt;&gt;""),I2/J2/12,0)+IF(AND(N2&lt;&gt;"",O2&lt;&gt;""),N2/O2/12,0),IF($H2=6,IF(AND(K2&lt;&gt;"",L2&lt;&gt;"",M2&lt;&gt;""),K2*L2*M2,0)+IF(AND(N2&lt;&gt;"",O2&lt;&gt;""),N2/O2/12,0),""))))))</f>
        <v>9276.1904761904771</v>
      </c>
      <c r="Q2">
        <v>2</v>
      </c>
      <c r="T2">
        <f>8*30</f>
        <v>240</v>
      </c>
      <c r="U2">
        <v>2.2000000000000002</v>
      </c>
      <c r="V2">
        <v>900</v>
      </c>
      <c r="Y2">
        <f>IF($Q2=1,IF(AND(R2&lt;&gt;"",S2&lt;&gt;""),R2/S2/12,""),IF($Q2=2,IF(AND(T2&lt;&gt;"",U2&lt;&gt;"",V2&lt;&gt;""),T2*U2*V2,""),IF($Q2=3,IF(AND(W2&lt;&gt;"",X2&lt;&gt;""),W2/X2/12,""),IF($Q2=4,IF(AND(R2&lt;&gt;"",S2&lt;&gt;""),R2/S2/12,0)+IF(AND(T2&lt;&gt;"",U2&lt;&gt;"",V2&lt;&gt;""),T2*U2*V2,0),IF($Q2=5,IF(AND(R2&lt;&gt;"",S2&lt;&gt;""),R2/S2/12,0)+IF(AND(W2&lt;&gt;"",X2&lt;&gt;""),W2/X2/12,0),IF($Q2=6,IF(AND(T2&lt;&gt;"",U2&lt;&gt;"",V2&lt;&gt;""),T2*U2*V2,0)+IF(AND(W2&lt;&gt;"",X2&lt;&gt;""),W2/X2/12,0),""))))))</f>
        <v>475200</v>
      </c>
      <c r="Z2">
        <v>2</v>
      </c>
      <c r="AC2">
        <f>8*30</f>
        <v>240</v>
      </c>
      <c r="AD2">
        <v>2.2000000000000002</v>
      </c>
      <c r="AE2">
        <v>900</v>
      </c>
      <c r="AH2">
        <f>IF($Z2=1,IF(AND(AA2&lt;&gt;"",AB2&lt;&gt;""),AA2/AB2/12,""),IF($Z2=2,IF(AND(AC2&lt;&gt;"",AD2&lt;&gt;"",AE2&lt;&gt;""),AC2*AD2*AE2,""),IF($Z2=3,IF(AND(AF2&lt;&gt;"",AG2&lt;&gt;""),AF2/AG2/12,""),IF($Z2=4,IF(AND(AA2&lt;&gt;"",AB2&lt;&gt;""),AA2/AB2/12,0)+IF(AND(AC2&lt;&gt;"",AD2&lt;&gt;"",AE2&lt;&gt;""),AC2*AD2*AE2,0),IF($Z2=5,IF(AND(AA2&lt;&gt;"",AB2&lt;&gt;""),AA2/AB2/12,0)+IF(AND(AF2&lt;&gt;"",AG2&lt;&gt;""),AF2/AG2/12,0),IF($Z2=6,IF(AND(AC2&lt;&gt;"",AD2&lt;&gt;"",AE2&lt;&gt;""),AC2*AD2*AE2,0)+IF(AND(AF2&lt;&gt;"",AG2&lt;&gt;""),AF2/AG2/12,0),""))))))</f>
        <v>475200</v>
      </c>
      <c r="AI2">
        <f>IF(매핑v2!H2="○",P2,"")</f>
        <v>9276.1904761904771</v>
      </c>
      <c r="AJ2" t="str">
        <f>IF(매핑v2!H2="○","○","X")</f>
        <v>○</v>
      </c>
      <c r="AK2">
        <f>IF(매핑v2!H2="○",Y2,"")</f>
        <v>475200</v>
      </c>
      <c r="AL2" t="str">
        <f>IF(매핑v2!H2="○","○","X")</f>
        <v>○</v>
      </c>
      <c r="AM2">
        <f>IF(매핑v2!H2="○",AH2,"")</f>
        <v>475200</v>
      </c>
      <c r="AN2" t="str">
        <f>IF(매핑v2!H2="○","○","X")</f>
        <v>○</v>
      </c>
      <c r="AO2">
        <f>IF(매핑v2!I2="○",P2,"")</f>
        <v>9276.1904761904771</v>
      </c>
      <c r="AP2" t="str">
        <f>IF(매핑v2!I2="○","○","X")</f>
        <v>○</v>
      </c>
      <c r="AQ2">
        <f>IF(매핑v2!I2="○",Y2,"")</f>
        <v>475200</v>
      </c>
      <c r="AR2" t="str">
        <f>IF(매핑v2!I2="○","○","X")</f>
        <v>○</v>
      </c>
      <c r="AS2">
        <f>IF(매핑v2!I2="○",AH2,"")</f>
        <v>475200</v>
      </c>
      <c r="AT2" t="str">
        <f>IF(매핑v2!I2="○","○","X")</f>
        <v>○</v>
      </c>
      <c r="AU2">
        <f>IF(매핑v2!J2="○",P2,"")</f>
        <v>9276.1904761904771</v>
      </c>
      <c r="AV2" t="str">
        <f>IF(매핑v2!J2="○","○","X")</f>
        <v>○</v>
      </c>
      <c r="AW2">
        <f>IF(매핑v2!J2="○",Y2,"")</f>
        <v>475200</v>
      </c>
      <c r="AX2" t="str">
        <f>IF(매핑v2!J2="○","○","X")</f>
        <v>○</v>
      </c>
      <c r="AY2">
        <f>IF(매핑v2!J2="○",AH2,"")</f>
        <v>475200</v>
      </c>
      <c r="AZ2" t="str">
        <f>IF(매핑v2!J2="○","○","X")</f>
        <v>○</v>
      </c>
      <c r="BA2">
        <f>IF(매핑v2!K2="○",P2,"")</f>
        <v>9276.1904761904771</v>
      </c>
      <c r="BB2" t="str">
        <f>IF(매핑v2!K2="○","○","X")</f>
        <v>○</v>
      </c>
      <c r="BC2">
        <f>IF(매핑v2!K2="○",Y2,"")</f>
        <v>475200</v>
      </c>
      <c r="BD2" t="str">
        <f>IF(매핑v2!K2="○","○","X")</f>
        <v>○</v>
      </c>
      <c r="BE2">
        <f>IF(매핑v2!K2="○",AH2,"")</f>
        <v>475200</v>
      </c>
      <c r="BF2" t="str">
        <f>IF(매핑v2!K2="○","○","X")</f>
        <v>○</v>
      </c>
      <c r="BG2">
        <f>IF(매핑v2!L2="○",P2,"")</f>
        <v>9276.1904761904771</v>
      </c>
      <c r="BH2" t="str">
        <f>IF(매핑v2!L2="○","○","X")</f>
        <v>○</v>
      </c>
      <c r="BI2">
        <f>IF(매핑v2!L2="○",Y2,"")</f>
        <v>475200</v>
      </c>
      <c r="BJ2" t="s">
        <v>977</v>
      </c>
      <c r="BK2" t="s">
        <v>1102</v>
      </c>
      <c r="BL2" t="s">
        <v>1102</v>
      </c>
      <c r="BM2" t="s">
        <v>977</v>
      </c>
      <c r="BN2" t="s">
        <v>1102</v>
      </c>
      <c r="BO2" t="s">
        <v>1102</v>
      </c>
    </row>
    <row r="3" spans="1:67" x14ac:dyDescent="0.3">
      <c r="A3">
        <v>2</v>
      </c>
      <c r="B3" t="s">
        <v>596</v>
      </c>
      <c r="C3" t="s">
        <v>601</v>
      </c>
      <c r="D3" t="s">
        <v>25</v>
      </c>
      <c r="E3" t="s">
        <v>1049</v>
      </c>
      <c r="F3" t="s">
        <v>955</v>
      </c>
      <c r="G3" t="s">
        <v>1050</v>
      </c>
      <c r="H3">
        <v>5</v>
      </c>
      <c r="I3">
        <v>5000</v>
      </c>
      <c r="J3">
        <v>5</v>
      </c>
      <c r="N3">
        <v>100000</v>
      </c>
      <c r="O3">
        <v>4</v>
      </c>
      <c r="P3">
        <f t="shared" si="0"/>
        <v>2166.666666666667</v>
      </c>
      <c r="Q3">
        <v>5</v>
      </c>
      <c r="R3">
        <v>3000000</v>
      </c>
      <c r="S3">
        <v>5</v>
      </c>
      <c r="Y3">
        <f t="shared" ref="Y3:Y68" si="1">IF($Q3=1,IF(AND(R3&lt;&gt;"",S3&lt;&gt;""),R3/S3/12,""),IF($Q3=2,IF(AND(T3&lt;&gt;"",U3&lt;&gt;"",V3&lt;&gt;""),T3*U3*V3,""),IF($Q3=3,IF(AND(W3&lt;&gt;"",X3&lt;&gt;""),W3/X3/12,""),IF($Q3=4,IF(AND(R3&lt;&gt;"",S3&lt;&gt;""),R3/S3/12,0)+IF(AND(T3&lt;&gt;"",U3&lt;&gt;"",V3&lt;&gt;""),T3*U3*V3,0),IF($Q3=5,IF(AND(R3&lt;&gt;"",S3&lt;&gt;""),R3/S3/12,0)+IF(AND(W3&lt;&gt;"",X3&lt;&gt;""),W3/X3/12,0),IF($Q3=6,IF(AND(T3&lt;&gt;"",U3&lt;&gt;"",V3&lt;&gt;""),T3*U3*V3,0)+IF(AND(W3&lt;&gt;"",X3&lt;&gt;""),W3/X3/12,0),""))))))</f>
        <v>50000</v>
      </c>
      <c r="Z3">
        <v>5</v>
      </c>
      <c r="AA3">
        <v>3000000</v>
      </c>
      <c r="AB3">
        <v>5</v>
      </c>
      <c r="AH3">
        <f t="shared" ref="AH3:AH68" si="2">IF($Z3=1,IF(AND(AA3&lt;&gt;"",AB3&lt;&gt;""),AA3/AB3/12,""),IF($Z3=2,IF(AND(AC3&lt;&gt;"",AD3&lt;&gt;"",AE3&lt;&gt;""),AC3*AD3*AE3,""),IF($Z3=3,IF(AND(AF3&lt;&gt;"",AG3&lt;&gt;""),AF3/AG3/12,""),IF($Z3=4,IF(AND(AA3&lt;&gt;"",AB3&lt;&gt;""),AA3/AB3/12,0)+IF(AND(AC3&lt;&gt;"",AD3&lt;&gt;"",AE3&lt;&gt;""),AC3*AD3*AE3,0),IF($Z3=5,IF(AND(AA3&lt;&gt;"",AB3&lt;&gt;""),AA3/AB3/12,0)+IF(AND(AF3&lt;&gt;"",AG3&lt;&gt;""),AF3/AG3/12,0),IF($Z3=6,IF(AND(AC3&lt;&gt;"",AD3&lt;&gt;"",AE3&lt;&gt;""),AC3*AD3*AE3,0)+IF(AND(AF3&lt;&gt;"",AG3&lt;&gt;""),AF3/AG3/12,0),""))))))</f>
        <v>50000</v>
      </c>
      <c r="AI3">
        <f>IF(매핑v2!H3="○",P3,"")</f>
        <v>2166.666666666667</v>
      </c>
      <c r="AJ3" t="str">
        <f>IF(매핑v2!H3="○","○","X")</f>
        <v>○</v>
      </c>
      <c r="AK3">
        <f>IF(매핑v2!H3="○",Y3,"")</f>
        <v>50000</v>
      </c>
      <c r="AL3" t="str">
        <f>IF(매핑v2!H3="○","○","X")</f>
        <v>○</v>
      </c>
      <c r="AM3">
        <f>IF(매핑v2!H3="○",AH3,"")</f>
        <v>50000</v>
      </c>
      <c r="AN3" t="str">
        <f>IF(매핑v2!H3="○","○","X")</f>
        <v>○</v>
      </c>
      <c r="AO3">
        <f>IF(매핑v2!I3="○",P3,"")</f>
        <v>2166.666666666667</v>
      </c>
      <c r="AP3" t="str">
        <f>IF(매핑v2!I3="○","○","X")</f>
        <v>○</v>
      </c>
      <c r="AQ3">
        <f>IF(매핑v2!I3="○",Y3,"")</f>
        <v>50000</v>
      </c>
      <c r="AR3" t="str">
        <f>IF(매핑v2!I3="○","○","X")</f>
        <v>○</v>
      </c>
      <c r="AS3">
        <f>IF(매핑v2!I3="○",AH3,"")</f>
        <v>50000</v>
      </c>
      <c r="AT3" t="str">
        <f>IF(매핑v2!I3="○","○","X")</f>
        <v>○</v>
      </c>
      <c r="AU3">
        <f>IF(매핑v2!J3="○",P3,"")</f>
        <v>2166.666666666667</v>
      </c>
      <c r="AV3" t="str">
        <f>IF(매핑v2!J3="○","○","X")</f>
        <v>○</v>
      </c>
      <c r="AW3">
        <f>IF(매핑v2!J3="○",Y3,"")</f>
        <v>50000</v>
      </c>
      <c r="AX3" t="str">
        <f>IF(매핑v2!J3="○","○","X")</f>
        <v>○</v>
      </c>
      <c r="AY3">
        <f>IF(매핑v2!J3="○",AH3,"")</f>
        <v>50000</v>
      </c>
      <c r="AZ3" t="str">
        <f>IF(매핑v2!J3="○","○","X")</f>
        <v>○</v>
      </c>
      <c r="BA3">
        <f>IF(매핑v2!K3="○",P3,"")</f>
        <v>2166.666666666667</v>
      </c>
      <c r="BB3" t="str">
        <f>IF(매핑v2!K3="○","○","X")</f>
        <v>○</v>
      </c>
      <c r="BC3">
        <f>IF(매핑v2!K3="○",Y3,"")</f>
        <v>50000</v>
      </c>
      <c r="BD3" t="str">
        <f>IF(매핑v2!K3="○","○","X")</f>
        <v>○</v>
      </c>
      <c r="BE3">
        <f>IF(매핑v2!K3="○",AH3,"")</f>
        <v>50000</v>
      </c>
      <c r="BF3" t="str">
        <f>IF(매핑v2!K3="○","○","X")</f>
        <v>○</v>
      </c>
      <c r="BG3">
        <f>IF(매핑v2!L3="○",P3,"")</f>
        <v>2166.666666666667</v>
      </c>
      <c r="BH3" t="str">
        <f>IF(매핑v2!L3="○","○","X")</f>
        <v>○</v>
      </c>
      <c r="BI3">
        <f>IF(매핑v2!L3="○",Y3,"")</f>
        <v>50000</v>
      </c>
      <c r="BJ3" t="s">
        <v>977</v>
      </c>
      <c r="BK3" t="s">
        <v>1102</v>
      </c>
      <c r="BL3" t="s">
        <v>977</v>
      </c>
      <c r="BM3" t="s">
        <v>977</v>
      </c>
      <c r="BN3" t="s">
        <v>1102</v>
      </c>
      <c r="BO3" t="s">
        <v>1102</v>
      </c>
    </row>
    <row r="4" spans="1:67" x14ac:dyDescent="0.3">
      <c r="A4">
        <v>3</v>
      </c>
      <c r="B4" t="s">
        <v>596</v>
      </c>
      <c r="C4" t="s">
        <v>601</v>
      </c>
      <c r="D4" t="s">
        <v>63</v>
      </c>
      <c r="E4" t="s">
        <v>824</v>
      </c>
      <c r="F4" t="s">
        <v>894</v>
      </c>
      <c r="G4" t="s">
        <v>953</v>
      </c>
      <c r="H4">
        <v>1</v>
      </c>
      <c r="I4">
        <v>20000</v>
      </c>
      <c r="J4">
        <v>10</v>
      </c>
      <c r="P4">
        <f>IF($H4=1,IF(AND(I4&lt;&gt;"",J4&lt;&gt;""),I4/J4/12,""),IF($H4=2,IF(AND(K4&lt;&gt;"",L4&lt;&gt;"",M4&lt;&gt;""),K4*L4*M4,""),IF($H4=3,IF(AND(N4&lt;&gt;"",O4&lt;&gt;""),N4/O4/12,""),IF($H4=4,IF(AND(I4&lt;&gt;"",J4&lt;&gt;""),I4/J4/12,0)+IF(AND(K4&lt;&gt;"",L4&lt;&gt;"",M4&lt;&gt;""),K4*L4*M4,0),IF($H4=5,IF(AND(I4&lt;&gt;"",J4&lt;&gt;""),I4/J4/12,0)+IF(AND(N4&lt;&gt;"",O4&lt;&gt;""),N4/O4/12,0),IF($H4=6,IF(AND(K4&lt;&gt;"",L4&lt;&gt;"",M4&lt;&gt;""),K4*L4*M4,0)+IF(AND(N4&lt;&gt;"",O4&lt;&gt;""),N4/O4/12,0),""))))))</f>
        <v>166.66666666666666</v>
      </c>
      <c r="Q4">
        <v>1</v>
      </c>
      <c r="R4">
        <v>15000000</v>
      </c>
      <c r="S4">
        <v>8</v>
      </c>
      <c r="W4">
        <v>1200000</v>
      </c>
      <c r="X4">
        <v>2</v>
      </c>
      <c r="Y4">
        <f t="shared" si="1"/>
        <v>156250</v>
      </c>
      <c r="Z4">
        <v>1</v>
      </c>
      <c r="AA4">
        <f>60000+40000</f>
        <v>100000</v>
      </c>
      <c r="AB4">
        <v>2</v>
      </c>
      <c r="AF4">
        <v>1200000</v>
      </c>
      <c r="AG4">
        <v>2</v>
      </c>
      <c r="AH4">
        <f t="shared" si="2"/>
        <v>4166.666666666667</v>
      </c>
      <c r="AI4">
        <f>IF(매핑v2!H4="○",P4,"")</f>
        <v>166.66666666666666</v>
      </c>
      <c r="AJ4" t="str">
        <f>IF(매핑v2!H4="○","○","X")</f>
        <v>○</v>
      </c>
      <c r="AK4">
        <f>IF(매핑v2!H4="○",Y4,"")</f>
        <v>156250</v>
      </c>
      <c r="AL4" t="str">
        <f>IF(매핑v2!H4="○","○","X")</f>
        <v>○</v>
      </c>
      <c r="AM4">
        <f>IF(매핑v2!H4="○",AH4,"")</f>
        <v>4166.666666666667</v>
      </c>
      <c r="AN4" t="str">
        <f>IF(매핑v2!H4="○","○","X")</f>
        <v>○</v>
      </c>
      <c r="AO4">
        <f>IF(매핑v2!I4="○",P4,"")</f>
        <v>166.66666666666666</v>
      </c>
      <c r="AP4" t="str">
        <f>IF(매핑v2!I4="○","○","X")</f>
        <v>○</v>
      </c>
      <c r="AQ4">
        <f>IF(매핑v2!I4="○",Y4,"")</f>
        <v>156250</v>
      </c>
      <c r="AR4" t="str">
        <f>IF(매핑v2!I4="○","○","X")</f>
        <v>○</v>
      </c>
      <c r="AS4">
        <f>IF(매핑v2!I4="○",AH4,"")</f>
        <v>4166.666666666667</v>
      </c>
      <c r="AT4" t="str">
        <f>IF(매핑v2!I4="○","○","X")</f>
        <v>○</v>
      </c>
      <c r="AU4">
        <f>IF(매핑v2!J4="○",P4,"")</f>
        <v>166.66666666666666</v>
      </c>
      <c r="AV4" t="str">
        <f>IF(매핑v2!J4="○","○","X")</f>
        <v>○</v>
      </c>
      <c r="AW4">
        <f>IF(매핑v2!J4="○",Y4,"")</f>
        <v>156250</v>
      </c>
      <c r="AX4" t="str">
        <f>IF(매핑v2!J4="○","○","X")</f>
        <v>○</v>
      </c>
      <c r="AY4">
        <f>IF(매핑v2!J4="○",AH4,"")</f>
        <v>4166.666666666667</v>
      </c>
      <c r="AZ4" t="str">
        <f>IF(매핑v2!J4="○","○","X")</f>
        <v>○</v>
      </c>
      <c r="BA4">
        <f>IF(매핑v2!K4="○",P4,"")</f>
        <v>166.66666666666666</v>
      </c>
      <c r="BB4" t="str">
        <f>IF(매핑v2!K4="○","○","X")</f>
        <v>○</v>
      </c>
      <c r="BC4">
        <f>IF(매핑v2!K4="○",Y4,"")</f>
        <v>156250</v>
      </c>
      <c r="BD4" t="str">
        <f>IF(매핑v2!K4="○","○","X")</f>
        <v>○</v>
      </c>
      <c r="BE4">
        <f>IF(매핑v2!K4="○",AH4,"")</f>
        <v>4166.666666666667</v>
      </c>
      <c r="BF4" t="str">
        <f>IF(매핑v2!K4="○","○","X")</f>
        <v>○</v>
      </c>
      <c r="BG4">
        <f>IF(매핑v2!L4="○",P4,"")</f>
        <v>166.66666666666666</v>
      </c>
      <c r="BH4" t="str">
        <f>IF(매핑v2!L4="○","○","X")</f>
        <v>○</v>
      </c>
      <c r="BI4">
        <f>IF(매핑v2!L4="○",Y4,"")</f>
        <v>156250</v>
      </c>
      <c r="BJ4" t="s">
        <v>977</v>
      </c>
      <c r="BK4" t="s">
        <v>1102</v>
      </c>
      <c r="BL4" t="s">
        <v>977</v>
      </c>
      <c r="BM4" t="s">
        <v>977</v>
      </c>
      <c r="BN4" t="s">
        <v>1102</v>
      </c>
      <c r="BO4" t="s">
        <v>1102</v>
      </c>
    </row>
    <row r="5" spans="1:67" x14ac:dyDescent="0.3">
      <c r="A5">
        <v>4</v>
      </c>
      <c r="B5" t="s">
        <v>596</v>
      </c>
      <c r="C5" t="s">
        <v>603</v>
      </c>
      <c r="D5" t="s">
        <v>63</v>
      </c>
      <c r="E5" t="s">
        <v>604</v>
      </c>
      <c r="F5" t="s">
        <v>483</v>
      </c>
      <c r="G5" t="s">
        <v>1051</v>
      </c>
      <c r="H5">
        <v>5</v>
      </c>
      <c r="I5">
        <v>40000</v>
      </c>
      <c r="J5">
        <v>5</v>
      </c>
      <c r="N5">
        <v>10000</v>
      </c>
      <c r="O5">
        <v>1</v>
      </c>
      <c r="P5">
        <f t="shared" si="0"/>
        <v>1500</v>
      </c>
      <c r="Q5">
        <v>5</v>
      </c>
      <c r="T5">
        <v>1</v>
      </c>
      <c r="U5">
        <v>1</v>
      </c>
      <c r="V5">
        <v>48000</v>
      </c>
      <c r="W5">
        <v>60000</v>
      </c>
      <c r="X5">
        <v>0.5</v>
      </c>
      <c r="Y5">
        <f t="shared" si="1"/>
        <v>10000</v>
      </c>
      <c r="Z5">
        <v>5</v>
      </c>
      <c r="AA5">
        <v>300000</v>
      </c>
      <c r="AB5">
        <v>1</v>
      </c>
      <c r="AF5">
        <v>60000</v>
      </c>
      <c r="AG5">
        <v>1</v>
      </c>
      <c r="AH5">
        <f t="shared" si="2"/>
        <v>30000</v>
      </c>
      <c r="AI5">
        <f>IF(매핑v2!H5="○",P5,"")</f>
        <v>1500</v>
      </c>
      <c r="AJ5" t="str">
        <f>IF(매핑v2!H5="○","○","X")</f>
        <v>○</v>
      </c>
      <c r="AK5">
        <f>IF(매핑v2!H5="○",Y5,"")</f>
        <v>10000</v>
      </c>
      <c r="AL5" t="str">
        <f>IF(매핑v2!H5="○","○","X")</f>
        <v>○</v>
      </c>
      <c r="AM5">
        <f>IF(매핑v2!H5="○",AH5,"")</f>
        <v>30000</v>
      </c>
      <c r="AN5" t="str">
        <f>IF(매핑v2!H5="○","○","X")</f>
        <v>○</v>
      </c>
      <c r="AO5">
        <f>IF(매핑v2!I5="○",P5,"")</f>
        <v>1500</v>
      </c>
      <c r="AP5" t="str">
        <f>IF(매핑v2!I5="○","○","X")</f>
        <v>○</v>
      </c>
      <c r="AQ5">
        <f>IF(매핑v2!I5="○",Y5,"")</f>
        <v>10000</v>
      </c>
      <c r="AR5" t="str">
        <f>IF(매핑v2!I5="○","○","X")</f>
        <v>○</v>
      </c>
      <c r="AS5">
        <f>IF(매핑v2!I5="○",AH5,"")</f>
        <v>30000</v>
      </c>
      <c r="AT5" t="str">
        <f>IF(매핑v2!I5="○","○","X")</f>
        <v>○</v>
      </c>
      <c r="AU5">
        <f>IF(매핑v2!J5="○",P5,"")</f>
        <v>1500</v>
      </c>
      <c r="AV5" t="str">
        <f>IF(매핑v2!J5="○","○","X")</f>
        <v>○</v>
      </c>
      <c r="AW5">
        <f>IF(매핑v2!J5="○",Y5,"")</f>
        <v>10000</v>
      </c>
      <c r="AX5" t="str">
        <f>IF(매핑v2!J5="○","○","X")</f>
        <v>○</v>
      </c>
      <c r="AY5">
        <f>IF(매핑v2!J5="○",AH5,"")</f>
        <v>30000</v>
      </c>
      <c r="AZ5" t="str">
        <f>IF(매핑v2!J5="○","○","X")</f>
        <v>○</v>
      </c>
      <c r="BA5">
        <f>IF(매핑v2!K5="○",P5,"")</f>
        <v>1500</v>
      </c>
      <c r="BB5" t="str">
        <f>IF(매핑v2!K5="○","○","X")</f>
        <v>○</v>
      </c>
      <c r="BC5">
        <f>IF(매핑v2!K5="○",Y5,"")</f>
        <v>10000</v>
      </c>
      <c r="BD5" t="str">
        <f>IF(매핑v2!K5="○","○","X")</f>
        <v>○</v>
      </c>
      <c r="BE5">
        <f>IF(매핑v2!K5="○",AH5,"")</f>
        <v>30000</v>
      </c>
      <c r="BF5" t="str">
        <f>IF(매핑v2!K5="○","○","X")</f>
        <v>○</v>
      </c>
      <c r="BG5">
        <f>IF(매핑v2!L5="○",P5,"")</f>
        <v>1500</v>
      </c>
      <c r="BH5" t="str">
        <f>IF(매핑v2!L5="○","○","X")</f>
        <v>○</v>
      </c>
      <c r="BI5">
        <f>IF(매핑v2!L5="○",Y5,"")</f>
        <v>10000</v>
      </c>
      <c r="BJ5" t="s">
        <v>977</v>
      </c>
      <c r="BK5" t="s">
        <v>1102</v>
      </c>
      <c r="BL5" t="s">
        <v>977</v>
      </c>
      <c r="BM5" t="s">
        <v>977</v>
      </c>
      <c r="BN5" t="s">
        <v>977</v>
      </c>
      <c r="BO5" t="s">
        <v>1102</v>
      </c>
    </row>
    <row r="6" spans="1:67" x14ac:dyDescent="0.3">
      <c r="A6">
        <v>5</v>
      </c>
      <c r="B6" t="s">
        <v>596</v>
      </c>
      <c r="C6" t="s">
        <v>605</v>
      </c>
      <c r="D6" t="s">
        <v>111</v>
      </c>
      <c r="E6" t="s">
        <v>734</v>
      </c>
      <c r="F6" t="s">
        <v>485</v>
      </c>
      <c r="G6" t="s">
        <v>486</v>
      </c>
      <c r="H6">
        <v>5</v>
      </c>
      <c r="I6">
        <v>200000</v>
      </c>
      <c r="J6">
        <v>5</v>
      </c>
      <c r="N6">
        <v>50000</v>
      </c>
      <c r="O6">
        <v>1</v>
      </c>
      <c r="P6">
        <f t="shared" si="0"/>
        <v>7500</v>
      </c>
      <c r="Q6">
        <v>5</v>
      </c>
      <c r="T6">
        <v>1</v>
      </c>
      <c r="U6">
        <v>1</v>
      </c>
      <c r="V6">
        <v>45000</v>
      </c>
      <c r="Y6">
        <f t="shared" si="1"/>
        <v>0</v>
      </c>
      <c r="Z6">
        <v>2</v>
      </c>
      <c r="AC6">
        <v>4</v>
      </c>
      <c r="AD6">
        <v>1</v>
      </c>
      <c r="AE6">
        <v>12000</v>
      </c>
      <c r="AH6">
        <f t="shared" si="2"/>
        <v>48000</v>
      </c>
      <c r="AI6">
        <f>IF(매핑v2!H6="○",P6,"")</f>
        <v>7500</v>
      </c>
      <c r="AJ6" t="str">
        <f>IF(매핑v2!H6="○","○","X")</f>
        <v>○</v>
      </c>
      <c r="AK6">
        <f>IF(매핑v2!H6="○",Y6,"")</f>
        <v>0</v>
      </c>
      <c r="AL6" t="str">
        <f>IF(매핑v2!H6="○","○","X")</f>
        <v>○</v>
      </c>
      <c r="AM6">
        <f>IF(매핑v2!H6="○",AH6,"")</f>
        <v>48000</v>
      </c>
      <c r="AN6" t="str">
        <f>IF(매핑v2!H6="○","○","X")</f>
        <v>○</v>
      </c>
      <c r="AO6">
        <f>IF(매핑v2!I6="○",P6,"")</f>
        <v>7500</v>
      </c>
      <c r="AP6" t="str">
        <f>IF(매핑v2!I6="○","○","X")</f>
        <v>○</v>
      </c>
      <c r="AQ6">
        <f>IF(매핑v2!I6="○",Y6,"")</f>
        <v>0</v>
      </c>
      <c r="AR6" t="str">
        <f>IF(매핑v2!I6="○","○","X")</f>
        <v>○</v>
      </c>
      <c r="AS6">
        <f>IF(매핑v2!I6="○",AH6,"")</f>
        <v>48000</v>
      </c>
      <c r="AT6" t="str">
        <f>IF(매핑v2!I6="○","○","X")</f>
        <v>○</v>
      </c>
      <c r="AU6">
        <f>IF(매핑v2!J6="○",P6,"")</f>
        <v>7500</v>
      </c>
      <c r="AV6" t="str">
        <f>IF(매핑v2!J6="○","○","X")</f>
        <v>○</v>
      </c>
      <c r="AW6">
        <f>IF(매핑v2!J6="○",Y6,"")</f>
        <v>0</v>
      </c>
      <c r="AX6" t="str">
        <f>IF(매핑v2!J6="○","○","X")</f>
        <v>○</v>
      </c>
      <c r="AY6">
        <f>IF(매핑v2!J6="○",AH6,"")</f>
        <v>48000</v>
      </c>
      <c r="AZ6" t="str">
        <f>IF(매핑v2!J6="○","○","X")</f>
        <v>○</v>
      </c>
      <c r="BA6">
        <f>IF(매핑v2!K6="○",P6,"")</f>
        <v>7500</v>
      </c>
      <c r="BB6" t="str">
        <f>IF(매핑v2!K6="○","○","X")</f>
        <v>○</v>
      </c>
      <c r="BC6">
        <f>IF(매핑v2!K6="○",Y6,"")</f>
        <v>0</v>
      </c>
      <c r="BD6" t="str">
        <f>IF(매핑v2!K6="○","○","X")</f>
        <v>○</v>
      </c>
      <c r="BE6">
        <f>IF(매핑v2!K6="○",AH6,"")</f>
        <v>48000</v>
      </c>
      <c r="BF6" t="str">
        <f>IF(매핑v2!K6="○","○","X")</f>
        <v>○</v>
      </c>
      <c r="BG6">
        <f>IF(매핑v2!L6="○",P6,"")</f>
        <v>7500</v>
      </c>
      <c r="BH6" t="str">
        <f>IF(매핑v2!L6="○","○","X")</f>
        <v>○</v>
      </c>
      <c r="BI6">
        <f>IF(매핑v2!L6="○",Y6,"")</f>
        <v>0</v>
      </c>
      <c r="BJ6" t="s">
        <v>977</v>
      </c>
      <c r="BK6" t="s">
        <v>1102</v>
      </c>
      <c r="BL6" t="s">
        <v>977</v>
      </c>
      <c r="BM6" t="s">
        <v>977</v>
      </c>
      <c r="BN6" t="s">
        <v>977</v>
      </c>
      <c r="BO6" t="s">
        <v>1102</v>
      </c>
    </row>
    <row r="7" spans="1:67" x14ac:dyDescent="0.3">
      <c r="A7">
        <v>6</v>
      </c>
      <c r="B7" t="s">
        <v>596</v>
      </c>
      <c r="C7" t="s">
        <v>606</v>
      </c>
      <c r="D7" t="s">
        <v>63</v>
      </c>
      <c r="E7" t="s">
        <v>607</v>
      </c>
      <c r="F7" t="s">
        <v>487</v>
      </c>
      <c r="G7" t="s">
        <v>488</v>
      </c>
      <c r="H7">
        <v>1</v>
      </c>
      <c r="I7">
        <v>37500</v>
      </c>
      <c r="J7">
        <v>5</v>
      </c>
      <c r="P7">
        <f t="shared" si="0"/>
        <v>625</v>
      </c>
      <c r="Q7">
        <v>1</v>
      </c>
      <c r="R7">
        <v>600000</v>
      </c>
      <c r="S7">
        <v>5</v>
      </c>
      <c r="Y7">
        <f t="shared" si="1"/>
        <v>10000</v>
      </c>
      <c r="Z7">
        <v>1</v>
      </c>
      <c r="AA7">
        <v>120000</v>
      </c>
      <c r="AB7">
        <v>5</v>
      </c>
      <c r="AH7">
        <f t="shared" si="2"/>
        <v>2000</v>
      </c>
      <c r="AI7">
        <f>IF(매핑v2!H7="○",P7,"")</f>
        <v>625</v>
      </c>
      <c r="AJ7" t="str">
        <f>IF(매핑v2!H7="○","○","X")</f>
        <v>○</v>
      </c>
      <c r="AK7">
        <f>IF(매핑v2!H7="○",Y7,"")</f>
        <v>10000</v>
      </c>
      <c r="AL7" t="str">
        <f>IF(매핑v2!H7="○","○","X")</f>
        <v>○</v>
      </c>
      <c r="AM7">
        <f>IF(매핑v2!H7="○",AH7,"")</f>
        <v>2000</v>
      </c>
      <c r="AN7" t="str">
        <f>IF(매핑v2!H7="○","○","X")</f>
        <v>○</v>
      </c>
      <c r="AO7">
        <f>IF(매핑v2!I7="○",P7,"")</f>
        <v>625</v>
      </c>
      <c r="AP7" t="str">
        <f>IF(매핑v2!I7="○","○","X")</f>
        <v>○</v>
      </c>
      <c r="AQ7">
        <f>IF(매핑v2!I7="○",Y7,"")</f>
        <v>10000</v>
      </c>
      <c r="AR7" t="str">
        <f>IF(매핑v2!I7="○","○","X")</f>
        <v>○</v>
      </c>
      <c r="AS7">
        <f>IF(매핑v2!I7="○",AH7,"")</f>
        <v>2000</v>
      </c>
      <c r="AT7" t="str">
        <f>IF(매핑v2!I7="○","○","X")</f>
        <v>○</v>
      </c>
      <c r="AU7">
        <f>IF(매핑v2!J7="○",P7,"")</f>
        <v>625</v>
      </c>
      <c r="AV7" t="str">
        <f>IF(매핑v2!J7="○","○","X")</f>
        <v>○</v>
      </c>
      <c r="AW7">
        <f>IF(매핑v2!J7="○",Y7,"")</f>
        <v>10000</v>
      </c>
      <c r="AX7" t="str">
        <f>IF(매핑v2!J7="○","○","X")</f>
        <v>○</v>
      </c>
      <c r="AY7">
        <f>IF(매핑v2!J7="○",AH7,"")</f>
        <v>2000</v>
      </c>
      <c r="AZ7" t="str">
        <f>IF(매핑v2!J7="○","○","X")</f>
        <v>○</v>
      </c>
      <c r="BA7">
        <f>IF(매핑v2!K7="○",P7,"")</f>
        <v>625</v>
      </c>
      <c r="BB7" t="str">
        <f>IF(매핑v2!K7="○","○","X")</f>
        <v>○</v>
      </c>
      <c r="BC7">
        <f>IF(매핑v2!K7="○",Y7,"")</f>
        <v>10000</v>
      </c>
      <c r="BD7" t="str">
        <f>IF(매핑v2!K7="○","○","X")</f>
        <v>○</v>
      </c>
      <c r="BE7">
        <f>IF(매핑v2!K7="○",AH7,"")</f>
        <v>2000</v>
      </c>
      <c r="BF7" t="str">
        <f>IF(매핑v2!K7="○","○","X")</f>
        <v>○</v>
      </c>
      <c r="BG7">
        <f>IF(매핑v2!L7="○",P7,"")</f>
        <v>625</v>
      </c>
      <c r="BH7" t="str">
        <f>IF(매핑v2!L7="○","○","X")</f>
        <v>○</v>
      </c>
      <c r="BI7">
        <f>IF(매핑v2!L7="○",Y7,"")</f>
        <v>10000</v>
      </c>
      <c r="BJ7" t="s">
        <v>977</v>
      </c>
      <c r="BK7" t="s">
        <v>1102</v>
      </c>
      <c r="BL7" t="s">
        <v>977</v>
      </c>
      <c r="BM7" t="s">
        <v>977</v>
      </c>
      <c r="BN7" t="s">
        <v>1102</v>
      </c>
      <c r="BO7" t="s">
        <v>1102</v>
      </c>
    </row>
    <row r="8" spans="1:67" x14ac:dyDescent="0.3">
      <c r="A8">
        <v>7</v>
      </c>
      <c r="B8" t="s">
        <v>596</v>
      </c>
      <c r="C8" t="s">
        <v>608</v>
      </c>
      <c r="D8" t="s">
        <v>36</v>
      </c>
      <c r="E8" t="s">
        <v>609</v>
      </c>
      <c r="F8" t="s">
        <v>271</v>
      </c>
      <c r="G8" t="s">
        <v>1052</v>
      </c>
      <c r="H8">
        <v>1</v>
      </c>
      <c r="I8">
        <v>10000</v>
      </c>
      <c r="J8">
        <v>5</v>
      </c>
      <c r="P8">
        <f t="shared" si="0"/>
        <v>166.66666666666666</v>
      </c>
      <c r="Q8">
        <v>1</v>
      </c>
      <c r="R8">
        <v>250000</v>
      </c>
      <c r="S8">
        <v>5</v>
      </c>
      <c r="Y8">
        <f t="shared" si="1"/>
        <v>4166.666666666667</v>
      </c>
      <c r="Z8">
        <v>1</v>
      </c>
      <c r="AH8" t="str">
        <f t="shared" si="2"/>
        <v/>
      </c>
      <c r="AI8">
        <f>IF(매핑v2!H8="○",P8,"")</f>
        <v>166.66666666666666</v>
      </c>
      <c r="AJ8" t="str">
        <f>IF(매핑v2!H8="○","○","X")</f>
        <v>○</v>
      </c>
      <c r="AK8">
        <f>IF(매핑v2!H8="○",Y8,"")</f>
        <v>4166.666666666667</v>
      </c>
      <c r="AL8" t="str">
        <f>IF(매핑v2!H8="○","○","X")</f>
        <v>○</v>
      </c>
      <c r="AM8" t="str">
        <f>IF(매핑v2!H8="○",AH8,"")</f>
        <v/>
      </c>
      <c r="AN8" t="str">
        <f>IF(매핑v2!H8="○","○","X")</f>
        <v>○</v>
      </c>
      <c r="AO8">
        <f>IF(매핑v2!I8="○",P8,"")</f>
        <v>166.66666666666666</v>
      </c>
      <c r="AP8" t="str">
        <f>IF(매핑v2!I8="○","○","X")</f>
        <v>○</v>
      </c>
      <c r="AQ8">
        <f>IF(매핑v2!I8="○",Y8,"")</f>
        <v>4166.666666666667</v>
      </c>
      <c r="AR8" t="str">
        <f>IF(매핑v2!I8="○","○","X")</f>
        <v>○</v>
      </c>
      <c r="AS8" t="str">
        <f>IF(매핑v2!I8="○",AH8,"")</f>
        <v/>
      </c>
      <c r="AT8" t="str">
        <f>IF(매핑v2!I8="○","○","X")</f>
        <v>○</v>
      </c>
      <c r="AU8">
        <f>IF(매핑v2!J8="○",P8,"")</f>
        <v>166.66666666666666</v>
      </c>
      <c r="AV8" t="str">
        <f>IF(매핑v2!J8="○","○","X")</f>
        <v>○</v>
      </c>
      <c r="AW8">
        <f>IF(매핑v2!J8="○",Y8,"")</f>
        <v>4166.666666666667</v>
      </c>
      <c r="AX8" t="str">
        <f>IF(매핑v2!J8="○","○","X")</f>
        <v>○</v>
      </c>
      <c r="AY8" t="str">
        <f>IF(매핑v2!J8="○",AH8,"")</f>
        <v/>
      </c>
      <c r="AZ8" t="str">
        <f>IF(매핑v2!J8="○","○","X")</f>
        <v>○</v>
      </c>
      <c r="BA8">
        <f>IF(매핑v2!K8="○",P8,"")</f>
        <v>166.66666666666666</v>
      </c>
      <c r="BB8" t="str">
        <f>IF(매핑v2!K8="○","○","X")</f>
        <v>○</v>
      </c>
      <c r="BC8">
        <f>IF(매핑v2!K8="○",Y8,"")</f>
        <v>4166.666666666667</v>
      </c>
      <c r="BD8" t="str">
        <f>IF(매핑v2!K8="○","○","X")</f>
        <v>○</v>
      </c>
      <c r="BE8" t="str">
        <f>IF(매핑v2!K8="○",AH8,"")</f>
        <v/>
      </c>
      <c r="BF8" t="str">
        <f>IF(매핑v2!K8="○","○","X")</f>
        <v>○</v>
      </c>
      <c r="BG8">
        <f>IF(매핑v2!L8="○",P8,"")</f>
        <v>166.66666666666666</v>
      </c>
      <c r="BH8" t="str">
        <f>IF(매핑v2!L8="○","○","X")</f>
        <v>○</v>
      </c>
      <c r="BI8">
        <f>IF(매핑v2!L8="○",Y8,"")</f>
        <v>4166.666666666667</v>
      </c>
      <c r="BJ8" t="s">
        <v>977</v>
      </c>
      <c r="BK8" t="s">
        <v>1102</v>
      </c>
      <c r="BL8" t="s">
        <v>977</v>
      </c>
      <c r="BM8" t="s">
        <v>977</v>
      </c>
      <c r="BN8" t="s">
        <v>977</v>
      </c>
      <c r="BO8" t="s">
        <v>1102</v>
      </c>
    </row>
    <row r="9" spans="1:67" x14ac:dyDescent="0.3">
      <c r="A9">
        <v>8</v>
      </c>
      <c r="B9" t="s">
        <v>596</v>
      </c>
      <c r="C9" t="s">
        <v>1053</v>
      </c>
      <c r="D9" t="s">
        <v>123</v>
      </c>
      <c r="E9" t="s">
        <v>1054</v>
      </c>
      <c r="F9" t="s">
        <v>274</v>
      </c>
      <c r="G9" t="s">
        <v>1055</v>
      </c>
      <c r="H9">
        <v>5</v>
      </c>
      <c r="I9">
        <v>150000</v>
      </c>
      <c r="J9">
        <v>8</v>
      </c>
      <c r="N9">
        <v>10000</v>
      </c>
      <c r="O9">
        <v>3</v>
      </c>
      <c r="P9">
        <f t="shared" si="0"/>
        <v>1840.2777777777778</v>
      </c>
      <c r="Q9">
        <v>1</v>
      </c>
      <c r="R9">
        <v>200000</v>
      </c>
      <c r="S9">
        <v>2</v>
      </c>
      <c r="Y9">
        <f t="shared" si="1"/>
        <v>8333.3333333333339</v>
      </c>
      <c r="Z9">
        <v>3</v>
      </c>
      <c r="AF9">
        <v>10000</v>
      </c>
      <c r="AG9">
        <v>3</v>
      </c>
      <c r="AH9">
        <f t="shared" si="2"/>
        <v>277.77777777777777</v>
      </c>
      <c r="AI9">
        <f>IF(매핑v2!H9="○",P9,"")</f>
        <v>1840.2777777777778</v>
      </c>
      <c r="AJ9" t="str">
        <f>IF(매핑v2!H9="○","○","X")</f>
        <v>○</v>
      </c>
      <c r="AK9">
        <f>IF(매핑v2!H9="○",Y9,"")</f>
        <v>8333.3333333333339</v>
      </c>
      <c r="AL9" t="str">
        <f>IF(매핑v2!H9="○","○","X")</f>
        <v>○</v>
      </c>
      <c r="AM9">
        <f>IF(매핑v2!H9="○",AH9,"")</f>
        <v>277.77777777777777</v>
      </c>
      <c r="AN9" t="str">
        <f>IF(매핑v2!H9="○","○","X")</f>
        <v>○</v>
      </c>
      <c r="AO9">
        <f>IF(매핑v2!I9="○",P9,"")</f>
        <v>1840.2777777777778</v>
      </c>
      <c r="AP9" t="str">
        <f>IF(매핑v2!I9="○","○","X")</f>
        <v>○</v>
      </c>
      <c r="AQ9">
        <f>IF(매핑v2!I9="○",Y9,"")</f>
        <v>8333.3333333333339</v>
      </c>
      <c r="AR9" t="str">
        <f>IF(매핑v2!I9="○","○","X")</f>
        <v>○</v>
      </c>
      <c r="AS9">
        <f>IF(매핑v2!I9="○",AH9,"")</f>
        <v>277.77777777777777</v>
      </c>
      <c r="AT9" t="str">
        <f>IF(매핑v2!I9="○","○","X")</f>
        <v>○</v>
      </c>
      <c r="AU9">
        <f>IF(매핑v2!J9="○",P9,"")</f>
        <v>1840.2777777777778</v>
      </c>
      <c r="AV9" t="str">
        <f>IF(매핑v2!J9="○","○","X")</f>
        <v>○</v>
      </c>
      <c r="AW9">
        <f>IF(매핑v2!J9="○",Y9,"")</f>
        <v>8333.3333333333339</v>
      </c>
      <c r="AX9" t="str">
        <f>IF(매핑v2!J9="○","○","X")</f>
        <v>○</v>
      </c>
      <c r="AY9">
        <f>IF(매핑v2!J9="○",AH9,"")</f>
        <v>277.77777777777777</v>
      </c>
      <c r="AZ9" t="str">
        <f>IF(매핑v2!J9="○","○","X")</f>
        <v>○</v>
      </c>
      <c r="BA9">
        <f>IF(매핑v2!K9="○",P9,"")</f>
        <v>1840.2777777777778</v>
      </c>
      <c r="BB9" t="str">
        <f>IF(매핑v2!K9="○","○","X")</f>
        <v>○</v>
      </c>
      <c r="BC9">
        <f>IF(매핑v2!K9="○",Y9,"")</f>
        <v>8333.3333333333339</v>
      </c>
      <c r="BD9" t="str">
        <f>IF(매핑v2!K9="○","○","X")</f>
        <v>○</v>
      </c>
      <c r="BE9">
        <f>IF(매핑v2!K9="○",AH9,"")</f>
        <v>277.77777777777777</v>
      </c>
      <c r="BF9" t="str">
        <f>IF(매핑v2!K9="○","○","X")</f>
        <v>○</v>
      </c>
      <c r="BG9">
        <f>IF(매핑v2!L9="○",P9,"")</f>
        <v>1840.2777777777778</v>
      </c>
      <c r="BH9" t="str">
        <f>IF(매핑v2!L9="○","○","X")</f>
        <v>○</v>
      </c>
      <c r="BI9">
        <f>IF(매핑v2!L9="○",Y9,"")</f>
        <v>8333.3333333333339</v>
      </c>
      <c r="BJ9" t="s">
        <v>977</v>
      </c>
      <c r="BK9" t="s">
        <v>1102</v>
      </c>
      <c r="BL9" t="s">
        <v>977</v>
      </c>
      <c r="BM9" t="s">
        <v>977</v>
      </c>
      <c r="BN9" t="s">
        <v>977</v>
      </c>
      <c r="BO9" t="s">
        <v>1102</v>
      </c>
    </row>
    <row r="10" spans="1:67" x14ac:dyDescent="0.3">
      <c r="A10">
        <v>9</v>
      </c>
      <c r="B10" t="s">
        <v>596</v>
      </c>
      <c r="C10" t="s">
        <v>613</v>
      </c>
      <c r="D10" t="s">
        <v>111</v>
      </c>
      <c r="E10" t="s">
        <v>615</v>
      </c>
      <c r="F10" t="s">
        <v>454</v>
      </c>
      <c r="G10" t="s">
        <v>1056</v>
      </c>
      <c r="H10">
        <v>5</v>
      </c>
      <c r="I10">
        <v>160000</v>
      </c>
      <c r="J10">
        <v>5</v>
      </c>
      <c r="N10">
        <v>6000</v>
      </c>
      <c r="O10">
        <v>0.5</v>
      </c>
      <c r="P10">
        <f t="shared" si="0"/>
        <v>3666.6666666666665</v>
      </c>
      <c r="Q10">
        <v>5</v>
      </c>
      <c r="T10">
        <v>1</v>
      </c>
      <c r="U10">
        <v>1</v>
      </c>
      <c r="V10">
        <v>30000</v>
      </c>
      <c r="Y10">
        <f t="shared" si="1"/>
        <v>0</v>
      </c>
      <c r="Z10">
        <v>5</v>
      </c>
      <c r="AA10">
        <v>160000</v>
      </c>
      <c r="AB10">
        <v>2</v>
      </c>
      <c r="AF10">
        <v>6000</v>
      </c>
      <c r="AG10">
        <v>0.25</v>
      </c>
      <c r="AH10">
        <f t="shared" si="2"/>
        <v>8666.6666666666679</v>
      </c>
      <c r="AI10">
        <f>IF(매핑v2!H10="○",P10,"")</f>
        <v>3666.6666666666665</v>
      </c>
      <c r="AJ10" t="str">
        <f>IF(매핑v2!H10="○","○","X")</f>
        <v>○</v>
      </c>
      <c r="AK10">
        <f>IF(매핑v2!H10="○",Y10,"")</f>
        <v>0</v>
      </c>
      <c r="AL10" t="str">
        <f>IF(매핑v2!H10="○","○","X")</f>
        <v>○</v>
      </c>
      <c r="AM10">
        <f>IF(매핑v2!H10="○",AH10,"")</f>
        <v>8666.6666666666679</v>
      </c>
      <c r="AN10" t="str">
        <f>IF(매핑v2!H10="○","○","X")</f>
        <v>○</v>
      </c>
      <c r="AO10">
        <f>IF(매핑v2!I10="○",P10,"")</f>
        <v>3666.6666666666665</v>
      </c>
      <c r="AP10" t="str">
        <f>IF(매핑v2!I10="○","○","X")</f>
        <v>○</v>
      </c>
      <c r="AQ10">
        <f>IF(매핑v2!I10="○",Y10,"")</f>
        <v>0</v>
      </c>
      <c r="AR10" t="str">
        <f>IF(매핑v2!I10="○","○","X")</f>
        <v>○</v>
      </c>
      <c r="AS10">
        <f>IF(매핑v2!I10="○",AH10,"")</f>
        <v>8666.6666666666679</v>
      </c>
      <c r="AT10" t="str">
        <f>IF(매핑v2!I10="○","○","X")</f>
        <v>○</v>
      </c>
      <c r="AU10">
        <f>IF(매핑v2!J10="○",P10,"")</f>
        <v>3666.6666666666665</v>
      </c>
      <c r="AV10" t="str">
        <f>IF(매핑v2!J10="○","○","X")</f>
        <v>○</v>
      </c>
      <c r="AW10">
        <f>IF(매핑v2!J10="○",Y10,"")</f>
        <v>0</v>
      </c>
      <c r="AX10" t="str">
        <f>IF(매핑v2!J10="○","○","X")</f>
        <v>○</v>
      </c>
      <c r="AY10">
        <f>IF(매핑v2!J10="○",AH10,"")</f>
        <v>8666.6666666666679</v>
      </c>
      <c r="AZ10" t="str">
        <f>IF(매핑v2!J10="○","○","X")</f>
        <v>○</v>
      </c>
      <c r="BA10">
        <f>IF(매핑v2!K10="○",P10,"")</f>
        <v>3666.6666666666665</v>
      </c>
      <c r="BB10" t="str">
        <f>IF(매핑v2!K10="○","○","X")</f>
        <v>○</v>
      </c>
      <c r="BC10">
        <f>IF(매핑v2!K10="○",Y10,"")</f>
        <v>0</v>
      </c>
      <c r="BD10" t="str">
        <f>IF(매핑v2!K10="○","○","X")</f>
        <v>○</v>
      </c>
      <c r="BE10">
        <f>IF(매핑v2!K10="○",AH10,"")</f>
        <v>8666.6666666666679</v>
      </c>
      <c r="BF10" t="str">
        <f>IF(매핑v2!K10="○","○","X")</f>
        <v>○</v>
      </c>
      <c r="BG10">
        <f>IF(매핑v2!L10="○",P10,"")</f>
        <v>3666.6666666666665</v>
      </c>
      <c r="BH10" t="str">
        <f>IF(매핑v2!L10="○","○","X")</f>
        <v>○</v>
      </c>
      <c r="BI10">
        <f>IF(매핑v2!L10="○",Y10,"")</f>
        <v>0</v>
      </c>
      <c r="BJ10" t="s">
        <v>977</v>
      </c>
      <c r="BK10" t="s">
        <v>1102</v>
      </c>
      <c r="BL10" t="s">
        <v>977</v>
      </c>
      <c r="BM10" t="s">
        <v>977</v>
      </c>
      <c r="BN10" t="s">
        <v>977</v>
      </c>
      <c r="BO10" t="s">
        <v>1102</v>
      </c>
    </row>
    <row r="11" spans="1:67" x14ac:dyDescent="0.3">
      <c r="A11">
        <v>10</v>
      </c>
      <c r="B11" t="s">
        <v>596</v>
      </c>
      <c r="C11" t="s">
        <v>616</v>
      </c>
      <c r="D11" t="s">
        <v>123</v>
      </c>
      <c r="E11" t="s">
        <v>735</v>
      </c>
      <c r="F11" t="s">
        <v>457</v>
      </c>
      <c r="G11" t="s">
        <v>458</v>
      </c>
      <c r="H11">
        <v>3</v>
      </c>
      <c r="N11">
        <v>12000</v>
      </c>
      <c r="O11">
        <v>3</v>
      </c>
      <c r="P11">
        <f t="shared" si="0"/>
        <v>333.33333333333331</v>
      </c>
      <c r="Q11">
        <v>3</v>
      </c>
      <c r="R11">
        <v>60000</v>
      </c>
      <c r="S11">
        <v>1</v>
      </c>
      <c r="Y11" t="str">
        <f t="shared" si="1"/>
        <v/>
      </c>
      <c r="Z11">
        <v>1</v>
      </c>
      <c r="AH11" t="str">
        <f t="shared" si="2"/>
        <v/>
      </c>
      <c r="AI11">
        <f>IF(매핑v2!H11="○",P11,"")</f>
        <v>333.33333333333331</v>
      </c>
      <c r="AJ11" t="str">
        <f>IF(매핑v2!H11="○","○","X")</f>
        <v>○</v>
      </c>
      <c r="AK11" t="str">
        <f>IF(매핑v2!H11="○",Y11,"")</f>
        <v/>
      </c>
      <c r="AL11" t="str">
        <f>IF(매핑v2!H11="○","○","X")</f>
        <v>○</v>
      </c>
      <c r="AM11" t="str">
        <f>IF(매핑v2!H11="○",AH11,"")</f>
        <v/>
      </c>
      <c r="AN11" t="str">
        <f>IF(매핑v2!H11="○","○","X")</f>
        <v>○</v>
      </c>
      <c r="AO11">
        <f>IF(매핑v2!I11="○",P11,"")</f>
        <v>333.33333333333331</v>
      </c>
      <c r="AP11" t="str">
        <f>IF(매핑v2!I11="○","○","X")</f>
        <v>○</v>
      </c>
      <c r="AQ11" t="str">
        <f>IF(매핑v2!I11="○",Y11,"")</f>
        <v/>
      </c>
      <c r="AR11" t="str">
        <f>IF(매핑v2!I11="○","○","X")</f>
        <v>○</v>
      </c>
      <c r="AS11" t="str">
        <f>IF(매핑v2!I11="○",AH11,"")</f>
        <v/>
      </c>
      <c r="AT11" t="str">
        <f>IF(매핑v2!I11="○","○","X")</f>
        <v>○</v>
      </c>
      <c r="AU11">
        <f>IF(매핑v2!J11="○",P11,"")</f>
        <v>333.33333333333331</v>
      </c>
      <c r="AV11" t="str">
        <f>IF(매핑v2!J11="○","○","X")</f>
        <v>○</v>
      </c>
      <c r="AW11" t="str">
        <f>IF(매핑v2!J11="○",Y11,"")</f>
        <v/>
      </c>
      <c r="AX11" t="str">
        <f>IF(매핑v2!J11="○","○","X")</f>
        <v>○</v>
      </c>
      <c r="AY11" t="str">
        <f>IF(매핑v2!J11="○",AH11,"")</f>
        <v/>
      </c>
      <c r="AZ11" t="str">
        <f>IF(매핑v2!J11="○","○","X")</f>
        <v>○</v>
      </c>
      <c r="BA11">
        <f>IF(매핑v2!K11="○",P11,"")</f>
        <v>333.33333333333331</v>
      </c>
      <c r="BB11" t="str">
        <f>IF(매핑v2!K11="○","○","X")</f>
        <v>○</v>
      </c>
      <c r="BC11" t="str">
        <f>IF(매핑v2!K11="○",Y11,"")</f>
        <v/>
      </c>
      <c r="BD11" t="str">
        <f>IF(매핑v2!K11="○","○","X")</f>
        <v>○</v>
      </c>
      <c r="BE11" t="str">
        <f>IF(매핑v2!K11="○",AH11,"")</f>
        <v/>
      </c>
      <c r="BF11" t="str">
        <f>IF(매핑v2!K11="○","○","X")</f>
        <v>○</v>
      </c>
      <c r="BG11">
        <f>IF(매핑v2!L11="○",P11,"")</f>
        <v>333.33333333333331</v>
      </c>
      <c r="BH11" t="str">
        <f>IF(매핑v2!L11="○","○","X")</f>
        <v>○</v>
      </c>
      <c r="BI11" t="str">
        <f>IF(매핑v2!L11="○",Y11,"")</f>
        <v/>
      </c>
      <c r="BJ11" t="s">
        <v>977</v>
      </c>
      <c r="BK11" t="s">
        <v>1102</v>
      </c>
      <c r="BL11" t="s">
        <v>977</v>
      </c>
      <c r="BM11" t="s">
        <v>977</v>
      </c>
      <c r="BN11" t="s">
        <v>977</v>
      </c>
      <c r="BO11" t="s">
        <v>1102</v>
      </c>
    </row>
    <row r="12" spans="1:67" x14ac:dyDescent="0.3">
      <c r="A12">
        <v>11</v>
      </c>
      <c r="B12" t="s">
        <v>596</v>
      </c>
      <c r="C12" t="s">
        <v>618</v>
      </c>
      <c r="D12" t="s">
        <v>63</v>
      </c>
      <c r="E12" t="s">
        <v>787</v>
      </c>
      <c r="F12" t="s">
        <v>956</v>
      </c>
      <c r="G12" t="s">
        <v>895</v>
      </c>
      <c r="H12">
        <v>4</v>
      </c>
      <c r="I12">
        <v>1500000</v>
      </c>
      <c r="J12">
        <v>5</v>
      </c>
      <c r="K12">
        <v>1</v>
      </c>
      <c r="L12">
        <v>1</v>
      </c>
      <c r="M12">
        <v>30000</v>
      </c>
      <c r="P12">
        <f t="shared" si="0"/>
        <v>55000</v>
      </c>
      <c r="Q12">
        <v>2</v>
      </c>
      <c r="T12">
        <v>1</v>
      </c>
      <c r="U12">
        <v>1</v>
      </c>
      <c r="V12">
        <v>95000</v>
      </c>
      <c r="Y12">
        <f t="shared" si="1"/>
        <v>95000</v>
      </c>
      <c r="Z12">
        <v>2</v>
      </c>
      <c r="AA12">
        <v>800000</v>
      </c>
      <c r="AB12">
        <v>2</v>
      </c>
      <c r="AC12">
        <v>1</v>
      </c>
      <c r="AD12">
        <v>1</v>
      </c>
      <c r="AE12">
        <v>30000</v>
      </c>
      <c r="AH12">
        <f t="shared" si="2"/>
        <v>30000</v>
      </c>
      <c r="AI12">
        <f>IF(매핑v2!H12="○",P12,"")</f>
        <v>55000</v>
      </c>
      <c r="AJ12" t="str">
        <f>IF(매핑v2!H12="○","○","X")</f>
        <v>○</v>
      </c>
      <c r="AK12">
        <f>IF(매핑v2!H12="○",Y12,"")</f>
        <v>95000</v>
      </c>
      <c r="AL12" t="str">
        <f>IF(매핑v2!H12="○","○","X")</f>
        <v>○</v>
      </c>
      <c r="AM12">
        <f>IF(매핑v2!H12="○",AH12,"")</f>
        <v>30000</v>
      </c>
      <c r="AN12" t="str">
        <f>IF(매핑v2!H12="○","○","X")</f>
        <v>○</v>
      </c>
      <c r="AO12">
        <f>IF(매핑v2!I12="○",P12,"")</f>
        <v>55000</v>
      </c>
      <c r="AP12" t="str">
        <f>IF(매핑v2!I12="○","○","X")</f>
        <v>○</v>
      </c>
      <c r="AQ12">
        <f>IF(매핑v2!I12="○",Y12,"")</f>
        <v>95000</v>
      </c>
      <c r="AR12" t="str">
        <f>IF(매핑v2!I12="○","○","X")</f>
        <v>○</v>
      </c>
      <c r="AS12">
        <f>IF(매핑v2!I12="○",AH12,"")</f>
        <v>30000</v>
      </c>
      <c r="AT12" t="str">
        <f>IF(매핑v2!I12="○","○","X")</f>
        <v>○</v>
      </c>
      <c r="AU12">
        <f>IF(매핑v2!J12="○",P12,"")</f>
        <v>55000</v>
      </c>
      <c r="AV12" t="str">
        <f>IF(매핑v2!J12="○","○","X")</f>
        <v>○</v>
      </c>
      <c r="AW12">
        <f>IF(매핑v2!J12="○",Y12,"")</f>
        <v>95000</v>
      </c>
      <c r="AX12" t="str">
        <f>IF(매핑v2!J12="○","○","X")</f>
        <v>○</v>
      </c>
      <c r="AY12">
        <f>IF(매핑v2!J12="○",AH12,"")</f>
        <v>30000</v>
      </c>
      <c r="AZ12" t="str">
        <f>IF(매핑v2!J12="○","○","X")</f>
        <v>○</v>
      </c>
      <c r="BA12">
        <f>IF(매핑v2!K12="○",P12,"")</f>
        <v>55000</v>
      </c>
      <c r="BB12" t="str">
        <f>IF(매핑v2!K12="○","○","X")</f>
        <v>○</v>
      </c>
      <c r="BC12">
        <f>IF(매핑v2!K12="○",Y12,"")</f>
        <v>95000</v>
      </c>
      <c r="BD12" t="str">
        <f>IF(매핑v2!K12="○","○","X")</f>
        <v>○</v>
      </c>
      <c r="BE12">
        <f>IF(매핑v2!K12="○",AH12,"")</f>
        <v>30000</v>
      </c>
      <c r="BF12" t="str">
        <f>IF(매핑v2!K12="○","○","X")</f>
        <v>○</v>
      </c>
      <c r="BG12">
        <f>IF(매핑v2!L12="○",P12,"")</f>
        <v>55000</v>
      </c>
      <c r="BH12" t="str">
        <f>IF(매핑v2!L12="○","○","X")</f>
        <v>○</v>
      </c>
      <c r="BI12">
        <f>IF(매핑v2!L12="○",Y12,"")</f>
        <v>95000</v>
      </c>
      <c r="BJ12" t="s">
        <v>977</v>
      </c>
      <c r="BK12" t="s">
        <v>1102</v>
      </c>
      <c r="BL12" t="s">
        <v>977</v>
      </c>
      <c r="BM12" t="s">
        <v>977</v>
      </c>
      <c r="BN12" t="s">
        <v>977</v>
      </c>
      <c r="BO12" t="s">
        <v>1102</v>
      </c>
    </row>
    <row r="13" spans="1:67" x14ac:dyDescent="0.3">
      <c r="A13" s="36">
        <v>12</v>
      </c>
      <c r="B13" t="s">
        <v>596</v>
      </c>
      <c r="C13" t="s">
        <v>619</v>
      </c>
      <c r="D13" t="s">
        <v>81</v>
      </c>
      <c r="E13" t="s">
        <v>788</v>
      </c>
      <c r="F13" t="s">
        <v>896</v>
      </c>
      <c r="G13" t="s">
        <v>897</v>
      </c>
      <c r="H13">
        <v>2</v>
      </c>
      <c r="K13">
        <v>1</v>
      </c>
      <c r="L13">
        <v>1</v>
      </c>
      <c r="M13">
        <v>5000</v>
      </c>
      <c r="P13">
        <f t="shared" si="0"/>
        <v>5000</v>
      </c>
      <c r="Q13">
        <v>2</v>
      </c>
      <c r="T13">
        <v>1</v>
      </c>
      <c r="U13">
        <v>1</v>
      </c>
      <c r="V13">
        <v>30000</v>
      </c>
      <c r="Y13">
        <f t="shared" si="1"/>
        <v>30000</v>
      </c>
      <c r="Z13">
        <v>2</v>
      </c>
      <c r="AC13">
        <v>1</v>
      </c>
      <c r="AD13">
        <v>1</v>
      </c>
      <c r="AE13">
        <v>10000</v>
      </c>
      <c r="AH13">
        <f t="shared" si="2"/>
        <v>10000</v>
      </c>
      <c r="AI13">
        <f>IF(매핑v2!H13="○",P13,"")</f>
        <v>5000</v>
      </c>
      <c r="AJ13" t="str">
        <f>IF(매핑v2!H13="○","○","X")</f>
        <v>○</v>
      </c>
      <c r="AK13">
        <f>IF(매핑v2!H13="○",Y13,"")</f>
        <v>30000</v>
      </c>
      <c r="AL13" t="str">
        <f>IF(매핑v2!H13="○","○","X")</f>
        <v>○</v>
      </c>
      <c r="AM13">
        <f>IF(매핑v2!H13="○",AH13,"")</f>
        <v>10000</v>
      </c>
      <c r="AN13" t="str">
        <f>IF(매핑v2!H13="○","○","X")</f>
        <v>○</v>
      </c>
      <c r="AO13">
        <f>IF(매핑v2!I13="○",P13,"")</f>
        <v>5000</v>
      </c>
      <c r="AP13" t="str">
        <f>IF(매핑v2!I13="○","○","X")</f>
        <v>○</v>
      </c>
      <c r="AQ13">
        <f>IF(매핑v2!I13="○",Y13,"")</f>
        <v>30000</v>
      </c>
      <c r="AR13" t="str">
        <f>IF(매핑v2!I13="○","○","X")</f>
        <v>○</v>
      </c>
      <c r="AS13">
        <f>IF(매핑v2!I13="○",AH13,"")</f>
        <v>10000</v>
      </c>
      <c r="AT13" t="str">
        <f>IF(매핑v2!I13="○","○","X")</f>
        <v>○</v>
      </c>
      <c r="AU13">
        <f>IF(매핑v2!J13="○",P13,"")</f>
        <v>5000</v>
      </c>
      <c r="AV13" t="str">
        <f>IF(매핑v2!J13="○","○","X")</f>
        <v>○</v>
      </c>
      <c r="AW13">
        <f>IF(매핑v2!J13="○",Y13,"")</f>
        <v>30000</v>
      </c>
      <c r="AX13" t="str">
        <f>IF(매핑v2!J13="○","○","X")</f>
        <v>○</v>
      </c>
      <c r="AY13">
        <f>IF(매핑v2!J13="○",AH13,"")</f>
        <v>10000</v>
      </c>
      <c r="AZ13" t="str">
        <f>IF(매핑v2!J13="○","○","X")</f>
        <v>○</v>
      </c>
      <c r="BA13">
        <f>IF(매핑v2!K13="○",P13,"")</f>
        <v>5000</v>
      </c>
      <c r="BB13" t="str">
        <f>IF(매핑v2!K13="○","○","X")</f>
        <v>○</v>
      </c>
      <c r="BC13">
        <f>IF(매핑v2!K13="○",Y13,"")</f>
        <v>30000</v>
      </c>
      <c r="BD13" t="str">
        <f>IF(매핑v2!K13="○","○","X")</f>
        <v>○</v>
      </c>
      <c r="BE13">
        <f>IF(매핑v2!K13="○",AH13,"")</f>
        <v>10000</v>
      </c>
      <c r="BF13" t="str">
        <f>IF(매핑v2!K13="○","○","X")</f>
        <v>○</v>
      </c>
      <c r="BG13">
        <f>IF(매핑v2!L13="○",P13,"")</f>
        <v>5000</v>
      </c>
      <c r="BH13" t="str">
        <f>IF(매핑v2!L13="○","○","X")</f>
        <v>○</v>
      </c>
      <c r="BI13">
        <f>IF(매핑v2!L13="○",Y13,"")</f>
        <v>30000</v>
      </c>
      <c r="BJ13" t="s">
        <v>977</v>
      </c>
      <c r="BK13" t="s">
        <v>1102</v>
      </c>
      <c r="BL13" t="s">
        <v>977</v>
      </c>
      <c r="BM13" t="s">
        <v>977</v>
      </c>
      <c r="BN13" t="s">
        <v>1102</v>
      </c>
      <c r="BO13" t="s">
        <v>1102</v>
      </c>
    </row>
    <row r="14" spans="1:67" x14ac:dyDescent="0.3">
      <c r="A14">
        <v>13</v>
      </c>
      <c r="B14" t="s">
        <v>596</v>
      </c>
      <c r="C14" t="s">
        <v>737</v>
      </c>
      <c r="D14" t="s">
        <v>63</v>
      </c>
      <c r="E14" t="s">
        <v>738</v>
      </c>
      <c r="F14" t="s">
        <v>898</v>
      </c>
      <c r="G14" t="s">
        <v>899</v>
      </c>
      <c r="H14">
        <v>1</v>
      </c>
      <c r="I14">
        <v>100000</v>
      </c>
      <c r="J14">
        <v>5</v>
      </c>
      <c r="P14">
        <f t="shared" si="0"/>
        <v>1666.6666666666667</v>
      </c>
      <c r="Q14">
        <v>1</v>
      </c>
      <c r="R14">
        <v>1000000</v>
      </c>
      <c r="S14">
        <v>5</v>
      </c>
      <c r="Y14">
        <f t="shared" si="1"/>
        <v>16666.666666666668</v>
      </c>
      <c r="Z14">
        <v>1</v>
      </c>
      <c r="AA14">
        <v>30000</v>
      </c>
      <c r="AB14">
        <v>0.5</v>
      </c>
      <c r="AH14">
        <f t="shared" si="2"/>
        <v>5000</v>
      </c>
      <c r="AI14">
        <f>IF(매핑v2!H14="○",P14,"")</f>
        <v>1666.6666666666667</v>
      </c>
      <c r="AJ14" t="str">
        <f>IF(매핑v2!H14="○","○","X")</f>
        <v>○</v>
      </c>
      <c r="AK14">
        <f>IF(매핑v2!H14="○",Y14,"")</f>
        <v>16666.666666666668</v>
      </c>
      <c r="AL14" t="str">
        <f>IF(매핑v2!H14="○","○","X")</f>
        <v>○</v>
      </c>
      <c r="AM14">
        <f>IF(매핑v2!H14="○",AH14,"")</f>
        <v>5000</v>
      </c>
      <c r="AN14" t="str">
        <f>IF(매핑v2!H14="○","○","X")</f>
        <v>○</v>
      </c>
      <c r="AO14">
        <f>IF(매핑v2!I14="○",P14,"")</f>
        <v>1666.6666666666667</v>
      </c>
      <c r="AP14" t="str">
        <f>IF(매핑v2!I14="○","○","X")</f>
        <v>○</v>
      </c>
      <c r="AQ14">
        <f>IF(매핑v2!I14="○",Y14,"")</f>
        <v>16666.666666666668</v>
      </c>
      <c r="AR14" t="str">
        <f>IF(매핑v2!I14="○","○","X")</f>
        <v>○</v>
      </c>
      <c r="AS14">
        <f>IF(매핑v2!I14="○",AH14,"")</f>
        <v>5000</v>
      </c>
      <c r="AT14" t="str">
        <f>IF(매핑v2!I14="○","○","X")</f>
        <v>○</v>
      </c>
      <c r="AU14">
        <f>IF(매핑v2!J14="○",P14,"")</f>
        <v>1666.6666666666667</v>
      </c>
      <c r="AV14" t="str">
        <f>IF(매핑v2!J14="○","○","X")</f>
        <v>○</v>
      </c>
      <c r="AW14">
        <f>IF(매핑v2!J14="○",Y14,"")</f>
        <v>16666.666666666668</v>
      </c>
      <c r="AX14" t="str">
        <f>IF(매핑v2!J14="○","○","X")</f>
        <v>○</v>
      </c>
      <c r="AY14">
        <f>IF(매핑v2!J14="○",AH14,"")</f>
        <v>5000</v>
      </c>
      <c r="AZ14" t="str">
        <f>IF(매핑v2!J14="○","○","X")</f>
        <v>○</v>
      </c>
      <c r="BA14">
        <f>IF(매핑v2!K14="○",P14,"")</f>
        <v>1666.6666666666667</v>
      </c>
      <c r="BB14" t="str">
        <f>IF(매핑v2!K14="○","○","X")</f>
        <v>○</v>
      </c>
      <c r="BC14">
        <f>IF(매핑v2!K14="○",Y14,"")</f>
        <v>16666.666666666668</v>
      </c>
      <c r="BD14" t="str">
        <f>IF(매핑v2!K14="○","○","X")</f>
        <v>○</v>
      </c>
      <c r="BE14">
        <f>IF(매핑v2!K14="○",AH14,"")</f>
        <v>5000</v>
      </c>
      <c r="BF14" t="str">
        <f>IF(매핑v2!K14="○","○","X")</f>
        <v>○</v>
      </c>
      <c r="BG14">
        <f>IF(매핑v2!L14="○",P14,"")</f>
        <v>1666.6666666666667</v>
      </c>
      <c r="BH14" t="str">
        <f>IF(매핑v2!L14="○","○","X")</f>
        <v>○</v>
      </c>
      <c r="BI14">
        <f>IF(매핑v2!L14="○",Y14,"")</f>
        <v>16666.666666666668</v>
      </c>
      <c r="BJ14" t="s">
        <v>977</v>
      </c>
      <c r="BK14" t="s">
        <v>1102</v>
      </c>
      <c r="BL14" t="s">
        <v>977</v>
      </c>
      <c r="BM14" t="s">
        <v>977</v>
      </c>
      <c r="BN14" t="s">
        <v>977</v>
      </c>
      <c r="BO14" t="s">
        <v>1102</v>
      </c>
    </row>
    <row r="15" spans="1:67" x14ac:dyDescent="0.3">
      <c r="A15">
        <v>14</v>
      </c>
      <c r="B15" t="s">
        <v>596</v>
      </c>
      <c r="C15" t="s">
        <v>620</v>
      </c>
      <c r="D15" t="s">
        <v>63</v>
      </c>
      <c r="E15" t="s">
        <v>789</v>
      </c>
      <c r="F15" t="s">
        <v>900</v>
      </c>
      <c r="G15" t="s">
        <v>901</v>
      </c>
      <c r="H15">
        <v>1</v>
      </c>
      <c r="I15">
        <v>100000</v>
      </c>
      <c r="J15">
        <v>5</v>
      </c>
      <c r="P15">
        <f t="shared" si="0"/>
        <v>1666.6666666666667</v>
      </c>
      <c r="Q15">
        <v>5</v>
      </c>
      <c r="R15">
        <v>1200000</v>
      </c>
      <c r="S15">
        <v>5</v>
      </c>
      <c r="W15">
        <v>30000</v>
      </c>
      <c r="X15">
        <v>1</v>
      </c>
      <c r="Y15">
        <f t="shared" si="1"/>
        <v>22500</v>
      </c>
      <c r="Z15">
        <v>1</v>
      </c>
      <c r="AA15">
        <v>40000</v>
      </c>
      <c r="AB15">
        <v>0.5</v>
      </c>
      <c r="AG15">
        <v>1</v>
      </c>
      <c r="AH15">
        <f t="shared" si="2"/>
        <v>6666.666666666667</v>
      </c>
      <c r="AI15">
        <f>IF(매핑v2!H15="○",P15,"")</f>
        <v>1666.6666666666667</v>
      </c>
      <c r="AJ15" t="str">
        <f>IF(매핑v2!H15="○","○","X")</f>
        <v>○</v>
      </c>
      <c r="AK15">
        <f>IF(매핑v2!H15="○",Y15,"")</f>
        <v>22500</v>
      </c>
      <c r="AL15" t="str">
        <f>IF(매핑v2!H15="○","○","X")</f>
        <v>○</v>
      </c>
      <c r="AM15">
        <f>IF(매핑v2!H15="○",AH15,"")</f>
        <v>6666.666666666667</v>
      </c>
      <c r="AN15" t="str">
        <f>IF(매핑v2!H15="○","○","X")</f>
        <v>○</v>
      </c>
      <c r="AO15">
        <f>IF(매핑v2!I15="○",P15,"")</f>
        <v>1666.6666666666667</v>
      </c>
      <c r="AP15" t="str">
        <f>IF(매핑v2!I15="○","○","X")</f>
        <v>○</v>
      </c>
      <c r="AQ15">
        <f>IF(매핑v2!I15="○",Y15,"")</f>
        <v>22500</v>
      </c>
      <c r="AR15" t="str">
        <f>IF(매핑v2!I15="○","○","X")</f>
        <v>○</v>
      </c>
      <c r="AS15">
        <f>IF(매핑v2!I15="○",AH15,"")</f>
        <v>6666.666666666667</v>
      </c>
      <c r="AT15" t="str">
        <f>IF(매핑v2!I15="○","○","X")</f>
        <v>○</v>
      </c>
      <c r="AU15">
        <f>IF(매핑v2!J15="○",P15,"")</f>
        <v>1666.6666666666667</v>
      </c>
      <c r="AV15" t="str">
        <f>IF(매핑v2!J15="○","○","X")</f>
        <v>○</v>
      </c>
      <c r="AW15">
        <f>IF(매핑v2!J15="○",Y15,"")</f>
        <v>22500</v>
      </c>
      <c r="AX15" t="str">
        <f>IF(매핑v2!J15="○","○","X")</f>
        <v>○</v>
      </c>
      <c r="AY15">
        <f>IF(매핑v2!J15="○",AH15,"")</f>
        <v>6666.666666666667</v>
      </c>
      <c r="AZ15" t="str">
        <f>IF(매핑v2!J15="○","○","X")</f>
        <v>○</v>
      </c>
      <c r="BA15">
        <f>IF(매핑v2!K15="○",P15,"")</f>
        <v>1666.6666666666667</v>
      </c>
      <c r="BB15" t="str">
        <f>IF(매핑v2!K15="○","○","X")</f>
        <v>○</v>
      </c>
      <c r="BC15">
        <f>IF(매핑v2!K15="○",Y15,"")</f>
        <v>22500</v>
      </c>
      <c r="BD15" t="str">
        <f>IF(매핑v2!K15="○","○","X")</f>
        <v>○</v>
      </c>
      <c r="BE15">
        <f>IF(매핑v2!K15="○",AH15,"")</f>
        <v>6666.666666666667</v>
      </c>
      <c r="BF15" t="str">
        <f>IF(매핑v2!K15="○","○","X")</f>
        <v>○</v>
      </c>
      <c r="BG15">
        <f>IF(매핑v2!L15="○",P15,"")</f>
        <v>1666.6666666666667</v>
      </c>
      <c r="BH15" t="str">
        <f>IF(매핑v2!L15="○","○","X")</f>
        <v>○</v>
      </c>
      <c r="BI15">
        <f>IF(매핑v2!L15="○",Y15,"")</f>
        <v>22500</v>
      </c>
      <c r="BJ15" t="s">
        <v>977</v>
      </c>
      <c r="BK15" t="s">
        <v>1102</v>
      </c>
      <c r="BL15" t="s">
        <v>977</v>
      </c>
      <c r="BM15" t="s">
        <v>977</v>
      </c>
      <c r="BN15" t="s">
        <v>977</v>
      </c>
      <c r="BO15" t="s">
        <v>1102</v>
      </c>
    </row>
    <row r="16" spans="1:67" x14ac:dyDescent="0.3">
      <c r="A16">
        <v>15</v>
      </c>
      <c r="B16" t="s">
        <v>621</v>
      </c>
      <c r="C16" t="s">
        <v>623</v>
      </c>
      <c r="D16" t="s">
        <v>63</v>
      </c>
      <c r="E16" t="s">
        <v>790</v>
      </c>
      <c r="F16" t="s">
        <v>902</v>
      </c>
      <c r="G16" t="s">
        <v>903</v>
      </c>
      <c r="H16">
        <v>1</v>
      </c>
      <c r="I16">
        <v>450000</v>
      </c>
      <c r="J16">
        <v>1</v>
      </c>
      <c r="P16">
        <f t="shared" si="0"/>
        <v>37500</v>
      </c>
      <c r="Q16">
        <v>1</v>
      </c>
      <c r="R16">
        <v>800000</v>
      </c>
      <c r="S16">
        <v>1</v>
      </c>
      <c r="Y16">
        <f t="shared" si="1"/>
        <v>66666.666666666672</v>
      </c>
      <c r="Z16">
        <v>1</v>
      </c>
      <c r="AA16">
        <v>800000</v>
      </c>
      <c r="AB16">
        <v>1</v>
      </c>
      <c r="AH16">
        <f t="shared" si="2"/>
        <v>66666.666666666672</v>
      </c>
      <c r="AI16">
        <f>IF(매핑v2!H16="○",P16,"")</f>
        <v>37500</v>
      </c>
      <c r="AJ16" t="str">
        <f>IF(매핑v2!H16="○","○","X")</f>
        <v>○</v>
      </c>
      <c r="AK16">
        <f>IF(매핑v2!H16="○",Y16,"")</f>
        <v>66666.666666666672</v>
      </c>
      <c r="AL16" t="str">
        <f>IF(매핑v2!H16="○","○","X")</f>
        <v>○</v>
      </c>
      <c r="AM16">
        <f>IF(매핑v2!H16="○",AH16,"")</f>
        <v>66666.666666666672</v>
      </c>
      <c r="AN16" t="str">
        <f>IF(매핑v2!H16="○","○","X")</f>
        <v>○</v>
      </c>
      <c r="AO16">
        <f>IF(매핑v2!I16="○",P16,"")</f>
        <v>37500</v>
      </c>
      <c r="AP16" t="str">
        <f>IF(매핑v2!I16="○","○","X")</f>
        <v>○</v>
      </c>
      <c r="AQ16">
        <f>IF(매핑v2!I16="○",Y16,"")</f>
        <v>66666.666666666672</v>
      </c>
      <c r="AR16" t="str">
        <f>IF(매핑v2!I16="○","○","X")</f>
        <v>○</v>
      </c>
      <c r="AS16">
        <f>IF(매핑v2!I16="○",AH16,"")</f>
        <v>66666.666666666672</v>
      </c>
      <c r="AT16" t="str">
        <f>IF(매핑v2!I16="○","○","X")</f>
        <v>○</v>
      </c>
      <c r="AU16">
        <f>IF(매핑v2!J16="○",P16,"")</f>
        <v>37500</v>
      </c>
      <c r="AV16" t="str">
        <f>IF(매핑v2!J16="○","○","X")</f>
        <v>○</v>
      </c>
      <c r="AW16">
        <f>IF(매핑v2!J16="○",Y16,"")</f>
        <v>66666.666666666672</v>
      </c>
      <c r="AX16" t="str">
        <f>IF(매핑v2!J16="○","○","X")</f>
        <v>○</v>
      </c>
      <c r="AY16">
        <f>IF(매핑v2!J16="○",AH16,"")</f>
        <v>66666.666666666672</v>
      </c>
      <c r="AZ16" t="str">
        <f>IF(매핑v2!J16="○","○","X")</f>
        <v>○</v>
      </c>
      <c r="BA16">
        <f>IF(매핑v2!K16="○",P16,"")</f>
        <v>37500</v>
      </c>
      <c r="BB16" t="str">
        <f>IF(매핑v2!K16="○","○","X")</f>
        <v>○</v>
      </c>
      <c r="BC16">
        <f>IF(매핑v2!K16="○",Y16,"")</f>
        <v>66666.666666666672</v>
      </c>
      <c r="BD16" t="str">
        <f>IF(매핑v2!K16="○","○","X")</f>
        <v>○</v>
      </c>
      <c r="BE16">
        <f>IF(매핑v2!K16="○",AH16,"")</f>
        <v>66666.666666666672</v>
      </c>
      <c r="BF16" t="str">
        <f>IF(매핑v2!K16="○","○","X")</f>
        <v>○</v>
      </c>
      <c r="BG16" t="str">
        <f>IF(매핑v2!L16="○",P16,"")</f>
        <v/>
      </c>
      <c r="BH16" t="str">
        <f>IF(매핑v2!L16="○","○","X")</f>
        <v>X</v>
      </c>
      <c r="BI16" t="str">
        <f>IF(매핑v2!L16="○",Y16,"")</f>
        <v/>
      </c>
      <c r="BJ16" t="s">
        <v>977</v>
      </c>
      <c r="BK16" t="s">
        <v>1102</v>
      </c>
      <c r="BL16" t="s">
        <v>977</v>
      </c>
      <c r="BM16" t="s">
        <v>977</v>
      </c>
      <c r="BN16" t="s">
        <v>1102</v>
      </c>
      <c r="BO16" t="s">
        <v>1102</v>
      </c>
    </row>
    <row r="17" spans="1:67" x14ac:dyDescent="0.3">
      <c r="A17">
        <v>16</v>
      </c>
      <c r="B17" t="s">
        <v>621</v>
      </c>
      <c r="C17" t="s">
        <v>978</v>
      </c>
      <c r="D17" t="s">
        <v>20</v>
      </c>
      <c r="E17" t="s">
        <v>979</v>
      </c>
      <c r="F17" t="s">
        <v>980</v>
      </c>
      <c r="G17" t="s">
        <v>981</v>
      </c>
      <c r="H17">
        <v>2</v>
      </c>
      <c r="K17">
        <v>1</v>
      </c>
      <c r="L17">
        <v>0.5</v>
      </c>
      <c r="M17">
        <v>10000</v>
      </c>
      <c r="P17">
        <f t="shared" ref="P17" si="3">IF($H17=1,IF(AND(I17&lt;&gt;"",J17&lt;&gt;""),I17/J17/12,""),IF($H17=2,IF(AND(K17&lt;&gt;"",L17&lt;&gt;"",M17&lt;&gt;""),K17*L17*M17,""),IF($H17=3,IF(AND(N17&lt;&gt;"",O17&lt;&gt;""),N17/O17/12,""),IF($H17=4,IF(AND(I17&lt;&gt;"",J17&lt;&gt;""),I17/J17/12,0)+IF(AND(K17&lt;&gt;"",L17&lt;&gt;"",M17&lt;&gt;""),K17*L17*M17,0),IF($H17=5,IF(AND(I17&lt;&gt;"",J17&lt;&gt;""),I17/J17/12,0)+IF(AND(N17&lt;&gt;"",O17&lt;&gt;""),N17/O17/12,0),IF($H17=6,IF(AND(K17&lt;&gt;"",L17&lt;&gt;"",M17&lt;&gt;""),K17*L17*M17,0)+IF(AND(N17&lt;&gt;"",O17&lt;&gt;""),N17/O17/12,0),""))))))</f>
        <v>5000</v>
      </c>
      <c r="Q17">
        <v>2</v>
      </c>
      <c r="T17">
        <v>1</v>
      </c>
      <c r="U17">
        <v>1</v>
      </c>
      <c r="V17">
        <v>100000</v>
      </c>
      <c r="Y17">
        <f t="shared" ref="Y17" si="4">IF($Q17=1,IF(AND(R17&lt;&gt;"",S17&lt;&gt;""),R17/S17/12,""),IF($Q17=2,IF(AND(T17&lt;&gt;"",U17&lt;&gt;"",V17&lt;&gt;""),T17*U17*V17,""),IF($Q17=3,IF(AND(W17&lt;&gt;"",X17&lt;&gt;""),W17/X17/12,""),IF($Q17=4,IF(AND(R17&lt;&gt;"",S17&lt;&gt;""),R17/S17/12,0)+IF(AND(T17&lt;&gt;"",U17&lt;&gt;"",V17&lt;&gt;""),T17*U17*V17,0),IF($Q17=5,IF(AND(R17&lt;&gt;"",S17&lt;&gt;""),R17/S17/12,0)+IF(AND(W17&lt;&gt;"",X17&lt;&gt;""),W17/X17/12,0),IF($Q17=6,IF(AND(T17&lt;&gt;"",U17&lt;&gt;"",V17&lt;&gt;""),T17*U17*V17,0)+IF(AND(W17&lt;&gt;"",X17&lt;&gt;""),W17/X17/12,0),""))))))</f>
        <v>100000</v>
      </c>
      <c r="Z17">
        <v>6</v>
      </c>
      <c r="AC17">
        <v>2</v>
      </c>
      <c r="AD17">
        <v>1</v>
      </c>
      <c r="AE17">
        <v>10000</v>
      </c>
      <c r="AF17">
        <v>20000</v>
      </c>
      <c r="AG17">
        <v>8</v>
      </c>
      <c r="AH17">
        <f t="shared" ref="AH17" si="5">IF($Z17=1,IF(AND(AA17&lt;&gt;"",AB17&lt;&gt;""),AA17/AB17/12,""),IF($Z17=2,IF(AND(AC17&lt;&gt;"",AD17&lt;&gt;"",AE17&lt;&gt;""),AC17*AD17*AE17,""),IF($Z17=3,IF(AND(AF17&lt;&gt;"",AG17&lt;&gt;""),AF17/AG17/12,""),IF($Z17=4,IF(AND(AA17&lt;&gt;"",AB17&lt;&gt;""),AA17/AB17/12,0)+IF(AND(AC17&lt;&gt;"",AD17&lt;&gt;"",AE17&lt;&gt;""),AC17*AD17*AE17,0),IF($Z17=5,IF(AND(AA17&lt;&gt;"",AB17&lt;&gt;""),AA17/AB17/12,0)+IF(AND(AF17&lt;&gt;"",AG17&lt;&gt;""),AF17/AG17/12,0),IF($Z17=6,IF(AND(AC17&lt;&gt;"",AD17&lt;&gt;"",AE17&lt;&gt;""),AC17*AD17*AE17,0)+IF(AND(AF17&lt;&gt;"",AG17&lt;&gt;""),AF17/AG17/12,0),""))))))</f>
        <v>20208.333333333332</v>
      </c>
      <c r="AI17">
        <f>IF(매핑v2!H17="○",P17,"")</f>
        <v>5000</v>
      </c>
      <c r="AJ17" t="str">
        <f>IF(매핑v2!H17="○","○","X")</f>
        <v>○</v>
      </c>
      <c r="AK17">
        <f>IF(매핑v2!H17="○",Y17,"")</f>
        <v>100000</v>
      </c>
      <c r="AL17" t="str">
        <f>IF(매핑v2!H17="○","○","X")</f>
        <v>○</v>
      </c>
      <c r="AM17">
        <f>IF(매핑v2!H17="○",AH17,"")</f>
        <v>20208.333333333332</v>
      </c>
      <c r="AN17" t="str">
        <f>IF(매핑v2!H17="○","○","X")</f>
        <v>○</v>
      </c>
      <c r="AO17">
        <f>IF(매핑v2!I17="○",P17,"")</f>
        <v>5000</v>
      </c>
      <c r="AP17" t="s">
        <v>1044</v>
      </c>
      <c r="AQ17">
        <f>IF(매핑v2!I17="○",Y17,"")</f>
        <v>100000</v>
      </c>
      <c r="AR17" t="s">
        <v>1044</v>
      </c>
      <c r="AS17">
        <f>IF(매핑v2!I17="○",AH17,"")</f>
        <v>20208.333333333332</v>
      </c>
      <c r="AT17" t="s">
        <v>1044</v>
      </c>
      <c r="AU17">
        <f>IF(매핑v2!J17="○",P17,"")</f>
        <v>5000</v>
      </c>
      <c r="AV17" t="str">
        <f>IF(매핑v2!J17="○","○","X")</f>
        <v>○</v>
      </c>
      <c r="AW17">
        <f>IF(매핑v2!J17="○",Y17,"")</f>
        <v>100000</v>
      </c>
      <c r="AX17" t="str">
        <f>IF(매핑v2!J17="○","○","X")</f>
        <v>○</v>
      </c>
      <c r="AY17">
        <f>IF(매핑v2!J17="○",AH17,"")</f>
        <v>20208.333333333332</v>
      </c>
      <c r="AZ17" t="str">
        <f>IF(매핑v2!J17="○","○","X")</f>
        <v>○</v>
      </c>
      <c r="BA17">
        <f>IF(매핑v2!K17="○",P17,"")</f>
        <v>5000</v>
      </c>
      <c r="BB17" t="str">
        <f>IF(매핑v2!K17="○","○","X")</f>
        <v>○</v>
      </c>
      <c r="BC17">
        <f>IF(매핑v2!K17="○",Y17,"")</f>
        <v>100000</v>
      </c>
      <c r="BD17" t="str">
        <f>IF(매핑v2!K17="○","○","X")</f>
        <v>○</v>
      </c>
      <c r="BE17">
        <f>IF(매핑v2!K17="○",AH17,"")</f>
        <v>20208.333333333332</v>
      </c>
      <c r="BF17" t="str">
        <f>IF(매핑v2!K17="○","○","X")</f>
        <v>○</v>
      </c>
      <c r="BG17">
        <f>IF(매핑v2!L17="○",P17,"")</f>
        <v>5000</v>
      </c>
      <c r="BH17" t="str">
        <f>IF(매핑v2!L17="○","○","X")</f>
        <v>○</v>
      </c>
      <c r="BI17">
        <f>IF(매핑v2!L17="○",Y17,"")</f>
        <v>100000</v>
      </c>
      <c r="BJ17" t="s">
        <v>977</v>
      </c>
      <c r="BK17" t="s">
        <v>1102</v>
      </c>
      <c r="BL17" t="s">
        <v>977</v>
      </c>
      <c r="BM17" t="s">
        <v>1044</v>
      </c>
      <c r="BN17" t="s">
        <v>977</v>
      </c>
      <c r="BO17" t="s">
        <v>977</v>
      </c>
    </row>
    <row r="18" spans="1:67" x14ac:dyDescent="0.3">
      <c r="A18">
        <v>17</v>
      </c>
      <c r="B18" t="s">
        <v>621</v>
      </c>
      <c r="C18" t="s">
        <v>700</v>
      </c>
      <c r="D18" t="s">
        <v>63</v>
      </c>
      <c r="E18" t="s">
        <v>701</v>
      </c>
      <c r="F18" t="s">
        <v>961</v>
      </c>
      <c r="G18" t="s">
        <v>509</v>
      </c>
      <c r="H18">
        <v>5</v>
      </c>
      <c r="I18">
        <v>200000</v>
      </c>
      <c r="J18">
        <v>2</v>
      </c>
      <c r="N18">
        <v>20000</v>
      </c>
      <c r="O18">
        <v>1</v>
      </c>
      <c r="P18">
        <f>IF($H18=1,IF(AND(I18&lt;&gt;"",J18&lt;&gt;""),I18/J18/12,""),IF($H18=2,IF(AND(K18&lt;&gt;"",L18&lt;&gt;"",M18&lt;&gt;""),K18*L18*M18,""),IF($H18=3,IF(AND(N18&lt;&gt;"",O18&lt;&gt;""),N18/O18/12,""),IF($H18=4,IF(AND(I18&lt;&gt;"",J18&lt;&gt;""),I18/J18/12,0)+IF(AND(K18&lt;&gt;"",L18&lt;&gt;"",M18&lt;&gt;""),K18*L18*M18,0),IF($H18=5,IF(AND(I18&lt;&gt;"",J18&lt;&gt;""),I18/J18/12,0)+IF(AND(N18&lt;&gt;"",O18&lt;&gt;""),N18/O18/12,0),IF($H18=6,IF(AND(K18&lt;&gt;"",L18&lt;&gt;"",M18&lt;&gt;""),K18*L18*M18,0)+IF(AND(N18&lt;&gt;"",O18&lt;&gt;""),N18/O18/12,0),""))))))</f>
        <v>10000</v>
      </c>
      <c r="Q18">
        <v>1</v>
      </c>
      <c r="R18">
        <v>200000</v>
      </c>
      <c r="S18">
        <v>1</v>
      </c>
      <c r="Y18">
        <f>IF($Q18=1,IF(AND(R18&lt;&gt;"",S18&lt;&gt;""),R18/S18/12,""),IF($Q18=2,IF(AND(T18&lt;&gt;"",U18&lt;&gt;"",V18&lt;&gt;""),T18*U18*V18,""),IF($Q18=3,IF(AND(W18&lt;&gt;"",X18&lt;&gt;""),W18/X18/12,""),IF($Q18=4,IF(AND(R18&lt;&gt;"",S18&lt;&gt;""),R18/S18/12,0)+IF(AND(T18&lt;&gt;"",U18&lt;&gt;"",V18&lt;&gt;""),T18*U18*V18,0),IF($Q18=5,IF(AND(R18&lt;&gt;"",S18&lt;&gt;""),R18/S18/12,0)+IF(AND(W18&lt;&gt;"",X18&lt;&gt;""),W18/X18/12,0),IF($Q18=6,IF(AND(T18&lt;&gt;"",U18&lt;&gt;"",V18&lt;&gt;""),T18*U18*V18,0)+IF(AND(W18&lt;&gt;"",X18&lt;&gt;""),W18/X18/12,0),""))))))</f>
        <v>16666.666666666668</v>
      </c>
      <c r="Z18">
        <v>1</v>
      </c>
      <c r="AA18">
        <v>180000</v>
      </c>
      <c r="AB18">
        <v>1</v>
      </c>
      <c r="AH18">
        <f>IF($Z18=1,IF(AND(AA18&lt;&gt;"",AB18&lt;&gt;""),AA18/AB18/12,""),IF($Z18=2,IF(AND(AC18&lt;&gt;"",AD18&lt;&gt;"",AE18&lt;&gt;""),AC18*AD18*AE18,""),IF($Z18=3,IF(AND(AF18&lt;&gt;"",AG18&lt;&gt;""),AF18/AG18/12,""),IF($Z18=4,IF(AND(AA18&lt;&gt;"",AB18&lt;&gt;""),AA18/AB18/12,0)+IF(AND(AC18&lt;&gt;"",AD18&lt;&gt;"",AE18&lt;&gt;""),AC18*AD18*AE18,0),IF($Z18=5,IF(AND(AA18&lt;&gt;"",AB18&lt;&gt;""),AA18/AB18/12,0)+IF(AND(AF18&lt;&gt;"",AG18&lt;&gt;""),AF18/AG18/12,0),IF($Z18=6,IF(AND(AC18&lt;&gt;"",AD18&lt;&gt;"",AE18&lt;&gt;""),AC18*AD18*AE18,0)+IF(AND(AF18&lt;&gt;"",AG18&lt;&gt;""),AF18/AG18/12,0),""))))))</f>
        <v>15000</v>
      </c>
      <c r="AI18">
        <f>IF(매핑v2!H63="○",P18,"")</f>
        <v>10000</v>
      </c>
      <c r="AJ18" t="str">
        <f>IF(매핑v2!H63="○","○","X")</f>
        <v>○</v>
      </c>
      <c r="AK18">
        <f>IF(매핑v2!H63="○",Y18,"")</f>
        <v>16666.666666666668</v>
      </c>
      <c r="AL18" t="str">
        <f>IF(매핑v2!H63="○","○","X")</f>
        <v>○</v>
      </c>
      <c r="AM18">
        <f>IF(매핑v2!H63="○",AH18,"")</f>
        <v>15000</v>
      </c>
      <c r="AN18" t="str">
        <f>IF(매핑v2!H63="○","○","X")</f>
        <v>○</v>
      </c>
      <c r="AO18">
        <f>IF(매핑v2!I63="○",P18,"")</f>
        <v>10000</v>
      </c>
      <c r="AP18" t="str">
        <f>IF(매핑v2!I63="○","○","X")</f>
        <v>○</v>
      </c>
      <c r="AQ18">
        <f>IF(매핑v2!I63="○",Y18,"")</f>
        <v>16666.666666666668</v>
      </c>
      <c r="AR18" t="str">
        <f>IF(매핑v2!I63="○","○","X")</f>
        <v>○</v>
      </c>
      <c r="AS18">
        <f>IF(매핑v2!I63="○",AH18,"")</f>
        <v>15000</v>
      </c>
      <c r="AT18" t="str">
        <f>IF(매핑v2!I63="○","○","X")</f>
        <v>○</v>
      </c>
      <c r="AU18">
        <f>IF(매핑v2!J63="○",P18,"")</f>
        <v>10000</v>
      </c>
      <c r="AV18" t="str">
        <f>IF(매핑v2!J63="○","○","X")</f>
        <v>○</v>
      </c>
      <c r="AW18">
        <f>IF(매핑v2!J63="○",Y18,"")</f>
        <v>16666.666666666668</v>
      </c>
      <c r="AX18" t="str">
        <f>IF(매핑v2!J63="○","○","X")</f>
        <v>○</v>
      </c>
      <c r="AY18">
        <f>IF(매핑v2!J63="○",AH18,"")</f>
        <v>15000</v>
      </c>
      <c r="AZ18" t="str">
        <f>IF(매핑v2!J63="○","○","X")</f>
        <v>○</v>
      </c>
      <c r="BA18">
        <f>IF(매핑v2!K63="○",P18,"")</f>
        <v>10000</v>
      </c>
      <c r="BB18" t="str">
        <f>IF(매핑v2!K63="○","○","X")</f>
        <v>○</v>
      </c>
      <c r="BC18">
        <f>IF(매핑v2!K63="○",Y18,"")</f>
        <v>16666.666666666668</v>
      </c>
      <c r="BD18" t="str">
        <f>IF(매핑v2!K63="○","○","X")</f>
        <v>○</v>
      </c>
      <c r="BE18">
        <f>IF(매핑v2!K63="○",AH18,"")</f>
        <v>15000</v>
      </c>
      <c r="BF18" t="str">
        <f>IF(매핑v2!K63="○","○","X")</f>
        <v>○</v>
      </c>
      <c r="BG18" t="str">
        <f>IF(매핑v2!L63="○",P18,"")</f>
        <v/>
      </c>
      <c r="BH18" t="str">
        <f>IF(매핑v2!L63="○","○","X")</f>
        <v>X</v>
      </c>
      <c r="BI18" t="str">
        <f>IF(매핑v2!L63="○",Y18,"")</f>
        <v/>
      </c>
      <c r="BJ18" t="s">
        <v>977</v>
      </c>
      <c r="BK18" t="s">
        <v>1102</v>
      </c>
      <c r="BL18" t="s">
        <v>977</v>
      </c>
      <c r="BM18" t="s">
        <v>977</v>
      </c>
      <c r="BN18" t="s">
        <v>1102</v>
      </c>
      <c r="BO18" t="s">
        <v>1102</v>
      </c>
    </row>
    <row r="19" spans="1:67" x14ac:dyDescent="0.3">
      <c r="A19">
        <v>18</v>
      </c>
      <c r="B19" t="s">
        <v>621</v>
      </c>
      <c r="C19" t="s">
        <v>1063</v>
      </c>
      <c r="D19" t="s">
        <v>81</v>
      </c>
      <c r="E19" t="s">
        <v>694</v>
      </c>
      <c r="F19" t="s">
        <v>517</v>
      </c>
      <c r="G19" t="s">
        <v>1062</v>
      </c>
      <c r="H19">
        <v>3</v>
      </c>
      <c r="N19">
        <v>5000</v>
      </c>
      <c r="O19">
        <v>3</v>
      </c>
      <c r="P19">
        <f>IF($H19=1,IF(AND(I19&lt;&gt;"",J19&lt;&gt;""),I19/J19/12,""),IF($H19=2,IF(AND(K19&lt;&gt;"",L19&lt;&gt;"",M19&lt;&gt;""),K19*L19*M19,""),IF($H19=3,IF(AND(N19&lt;&gt;"",O19&lt;&gt;""),N19/O19/12,""),IF($H19=4,IF(AND(I19&lt;&gt;"",J19&lt;&gt;""),I19/J19/12,0)+IF(AND(K19&lt;&gt;"",L19&lt;&gt;"",M19&lt;&gt;""),K19*L19*M19,0),IF($H19=5,IF(AND(I19&lt;&gt;"",J19&lt;&gt;""),I19/J19/12,0)+IF(AND(N19&lt;&gt;"",O19&lt;&gt;""),N19/O19/12,0),IF($H19=6,IF(AND(K19&lt;&gt;"",L19&lt;&gt;"",M19&lt;&gt;""),K19*L19*M19,0)+IF(AND(N19&lt;&gt;"",O19&lt;&gt;""),N19/O19/12,0),""))))))</f>
        <v>138.88888888888889</v>
      </c>
      <c r="Q19">
        <v>2</v>
      </c>
      <c r="T19">
        <v>1</v>
      </c>
      <c r="U19">
        <v>1</v>
      </c>
      <c r="V19">
        <v>10000</v>
      </c>
      <c r="Y19">
        <f>IF($Q19=1,IF(AND(R19&lt;&gt;"",S19&lt;&gt;""),R19/S19/12,""),IF($Q19=2,IF(AND(T19&lt;&gt;"",U19&lt;&gt;"",V19&lt;&gt;""),T19*U19*V19,""),IF($Q19=3,IF(AND(W19&lt;&gt;"",X19&lt;&gt;""),W19/X19/12,""),IF($Q19=4,IF(AND(R19&lt;&gt;"",S19&lt;&gt;""),R19/S19/12,0)+IF(AND(T19&lt;&gt;"",U19&lt;&gt;"",V19&lt;&gt;""),T19*U19*V19,0),IF($Q19=5,IF(AND(R19&lt;&gt;"",S19&lt;&gt;""),R19/S19/12,0)+IF(AND(W19&lt;&gt;"",X19&lt;&gt;""),W19/X19/12,0),IF($Q19=6,IF(AND(T19&lt;&gt;"",U19&lt;&gt;"",V19&lt;&gt;""),T19*U19*V19,0)+IF(AND(W19&lt;&gt;"",X19&lt;&gt;""),W19/X19/12,0),""))))))</f>
        <v>10000</v>
      </c>
      <c r="Z19">
        <v>3</v>
      </c>
      <c r="AG19">
        <v>10000</v>
      </c>
      <c r="AH19">
        <v>0.25</v>
      </c>
      <c r="AI19">
        <f>IF(매핑v2!H59="○",P19,"")</f>
        <v>138.88888888888889</v>
      </c>
      <c r="AJ19" t="str">
        <f>IF(매핑v2!H59="○","○","X")</f>
        <v>○</v>
      </c>
      <c r="AK19">
        <f>IF(매핑v2!H59="○",Y19,"")</f>
        <v>10000</v>
      </c>
      <c r="AL19" t="str">
        <f>IF(매핑v2!H59="○","○","X")</f>
        <v>○</v>
      </c>
      <c r="AM19">
        <f>IF(매핑v2!H59="○",AH19,"")</f>
        <v>0.25</v>
      </c>
      <c r="AN19" t="str">
        <f>IF(매핑v2!H59="○","○","X")</f>
        <v>○</v>
      </c>
      <c r="AO19">
        <f>IF(매핑v2!I59="○",P19,"")</f>
        <v>138.88888888888889</v>
      </c>
      <c r="AP19" t="str">
        <f>IF(매핑v2!I59="○","○","X")</f>
        <v>○</v>
      </c>
      <c r="AQ19">
        <f>IF(매핑v2!I59="○",Y19,"")</f>
        <v>10000</v>
      </c>
      <c r="AR19" t="str">
        <f>IF(매핑v2!I59="○","○","X")</f>
        <v>○</v>
      </c>
      <c r="AS19">
        <f>IF(매핑v2!I59="○",AH19,"")</f>
        <v>0.25</v>
      </c>
      <c r="AT19" t="str">
        <f>IF(매핑v2!I59="○","○","X")</f>
        <v>○</v>
      </c>
      <c r="AU19">
        <f>IF(매핑v2!J59="○",P19,"")</f>
        <v>138.88888888888889</v>
      </c>
      <c r="AV19" t="str">
        <f>IF(매핑v2!J59="○","○","X")</f>
        <v>○</v>
      </c>
      <c r="AW19">
        <f>IF(매핑v2!J59="○",Y19,"")</f>
        <v>10000</v>
      </c>
      <c r="AX19" t="str">
        <f>IF(매핑v2!J59="○","○","X")</f>
        <v>○</v>
      </c>
      <c r="AY19">
        <f>IF(매핑v2!J59="○",AH19,"")</f>
        <v>0.25</v>
      </c>
      <c r="AZ19" t="str">
        <f>IF(매핑v2!J59="○","○","X")</f>
        <v>○</v>
      </c>
      <c r="BA19">
        <f>IF(매핑v2!K59="○",P19,"")</f>
        <v>138.88888888888889</v>
      </c>
      <c r="BB19" t="str">
        <f>IF(매핑v2!K59="○","○","X")</f>
        <v>○</v>
      </c>
      <c r="BC19">
        <f>IF(매핑v2!K59="○",Y19,"")</f>
        <v>10000</v>
      </c>
      <c r="BD19" t="str">
        <f>IF(매핑v2!K59="○","○","X")</f>
        <v>○</v>
      </c>
      <c r="BE19">
        <f>IF(매핑v2!K59="○",AH19,"")</f>
        <v>0.25</v>
      </c>
      <c r="BF19" t="str">
        <f>IF(매핑v2!K59="○","○","X")</f>
        <v>○</v>
      </c>
      <c r="BG19">
        <f>IF(매핑v2!L59="○",P19,"")</f>
        <v>138.88888888888889</v>
      </c>
      <c r="BH19" t="str">
        <f>IF(매핑v2!L59="○","○","X")</f>
        <v>○</v>
      </c>
      <c r="BI19">
        <f>IF(매핑v2!L59="○",Y19,"")</f>
        <v>10000</v>
      </c>
      <c r="BJ19" t="s">
        <v>977</v>
      </c>
      <c r="BK19" t="s">
        <v>1102</v>
      </c>
      <c r="BL19" t="s">
        <v>977</v>
      </c>
      <c r="BM19" t="s">
        <v>977</v>
      </c>
      <c r="BN19" t="s">
        <v>1102</v>
      </c>
      <c r="BO19" t="s">
        <v>1102</v>
      </c>
    </row>
    <row r="20" spans="1:67" x14ac:dyDescent="0.3">
      <c r="A20">
        <v>19</v>
      </c>
      <c r="B20" t="s">
        <v>621</v>
      </c>
      <c r="C20" t="s">
        <v>1057</v>
      </c>
      <c r="D20" t="s">
        <v>1058</v>
      </c>
      <c r="E20" t="s">
        <v>1059</v>
      </c>
      <c r="F20" t="s">
        <v>1060</v>
      </c>
      <c r="G20" t="s">
        <v>1061</v>
      </c>
      <c r="H20">
        <v>2</v>
      </c>
      <c r="K20">
        <f>1/12</f>
        <v>8.3333333333333329E-2</v>
      </c>
      <c r="L20">
        <v>1</v>
      </c>
      <c r="M20">
        <v>30000</v>
      </c>
      <c r="P20">
        <f>IF($H20=1,IF(AND(I20&lt;&gt;"",J20&lt;&gt;""),I20/J20/12,""),IF($H20=2,IF(AND(K20&lt;&gt;"",L20&lt;&gt;"",M20&lt;&gt;""),K20*L20*M20,""),IF($H20=3,IF(AND(N20&lt;&gt;"",O20&lt;&gt;""),N20/O20/12,""),IF($H20=4,IF(AND(I20&lt;&gt;"",J20&lt;&gt;""),I20/J20/12,0)+IF(AND(K20&lt;&gt;"",L20&lt;&gt;"",M20&lt;&gt;""),K20*L20*M20,0),IF($H20=5,IF(AND(I20&lt;&gt;"",J20&lt;&gt;""),I20/J20/12,0)+IF(AND(N20&lt;&gt;"",O20&lt;&gt;""),N20/O20/12,0),IF($H20=6,IF(AND(K20&lt;&gt;"",L20&lt;&gt;"",M20&lt;&gt;""),K20*L20*M20,0)+IF(AND(N20&lt;&gt;"",O20&lt;&gt;""),N20/O20/12,0),""))))))</f>
        <v>2500</v>
      </c>
      <c r="Q20">
        <v>3</v>
      </c>
      <c r="W20">
        <v>100000</v>
      </c>
      <c r="X20">
        <v>0.5</v>
      </c>
      <c r="Y20">
        <f>IF($Q20=1,IF(AND(R20&lt;&gt;"",S20&lt;&gt;""),R20/S20/12,""),IF($Q20=2,IF(AND(T20&lt;&gt;"",U20&lt;&gt;"",V20&lt;&gt;""),T20*U20*V20,""),IF($Q20=3,IF(AND(W20&lt;&gt;"",X20&lt;&gt;""),W20/X20/12,""),IF($Q20=4,IF(AND(R20&lt;&gt;"",S20&lt;&gt;""),R20/S20/12,0)+IF(AND(T20&lt;&gt;"",U20&lt;&gt;"",V20&lt;&gt;""),T20*U20*V20,0),IF($Q20=5,IF(AND(R20&lt;&gt;"",S20&lt;&gt;""),R20/S20/12,0)+IF(AND(W20&lt;&gt;"",X20&lt;&gt;""),W20/X20/12,0),IF($Q20=6,IF(AND(T20&lt;&gt;"",U20&lt;&gt;"",V20&lt;&gt;""),T20*U20*V20,0)+IF(AND(W20&lt;&gt;"",X20&lt;&gt;""),W20/X20/12,0),""))))))</f>
        <v>16666.666666666668</v>
      </c>
      <c r="Z20">
        <v>3</v>
      </c>
      <c r="AF20">
        <v>20000</v>
      </c>
      <c r="AG20">
        <v>1</v>
      </c>
      <c r="AH20">
        <f>IF($Z20=1,IF(AND(AA20&lt;&gt;"",AB20&lt;&gt;""),AA20/AB20/12,""),IF($Z20=2,IF(AND(AC20&lt;&gt;"",AD20&lt;&gt;"",AE20&lt;&gt;""),AC20*AD20*AE20,""),IF($Z20=3,IF(AND(AF20&lt;&gt;"",AG20&lt;&gt;""),AF20/AG20/12,""),IF($Z20=4,IF(AND(AA20&lt;&gt;"",AB20&lt;&gt;""),AA20/AB20/12,0)+IF(AND(AC20&lt;&gt;"",AD20&lt;&gt;"",AE20&lt;&gt;""),AC20*AD20*AE20,0),IF($Z20=5,IF(AND(AA20&lt;&gt;"",AB20&lt;&gt;""),AA20/AB20/12,0)+IF(AND(AF20&lt;&gt;"",AG20&lt;&gt;""),AF20/AG20/12,0),IF($Z20=6,IF(AND(AC20&lt;&gt;"",AD20&lt;&gt;"",AE20&lt;&gt;""),AC20*AD20*AE20,0)+IF(AND(AF20&lt;&gt;"",AG20&lt;&gt;""),AF20/AG20/12,0),""))))))</f>
        <v>1666.6666666666667</v>
      </c>
    </row>
    <row r="21" spans="1:67" x14ac:dyDescent="0.3">
      <c r="A21">
        <v>20</v>
      </c>
      <c r="B21" t="s">
        <v>182</v>
      </c>
      <c r="C21" t="s">
        <v>625</v>
      </c>
      <c r="D21" t="s">
        <v>25</v>
      </c>
      <c r="E21" t="s">
        <v>791</v>
      </c>
      <c r="F21" t="s">
        <v>397</v>
      </c>
      <c r="G21" t="s">
        <v>438</v>
      </c>
      <c r="H21">
        <v>2</v>
      </c>
      <c r="K21">
        <v>1</v>
      </c>
      <c r="L21">
        <v>1</v>
      </c>
      <c r="M21">
        <v>20000</v>
      </c>
      <c r="P21">
        <f t="shared" si="0"/>
        <v>20000</v>
      </c>
      <c r="Q21">
        <v>2</v>
      </c>
      <c r="T21">
        <v>1</v>
      </c>
      <c r="U21">
        <v>1</v>
      </c>
      <c r="V21">
        <v>100000</v>
      </c>
      <c r="Y21">
        <f t="shared" si="1"/>
        <v>100000</v>
      </c>
      <c r="Z21">
        <v>2</v>
      </c>
      <c r="AC21">
        <v>1</v>
      </c>
      <c r="AD21">
        <v>1</v>
      </c>
      <c r="AE21">
        <v>60000</v>
      </c>
      <c r="AH21">
        <f t="shared" si="2"/>
        <v>60000</v>
      </c>
      <c r="AI21">
        <f>IF(매핑v2!H17="○",P21,"")</f>
        <v>20000</v>
      </c>
      <c r="AJ21" t="str">
        <f>IF(매핑v2!H17="○","○","X")</f>
        <v>○</v>
      </c>
      <c r="AK21">
        <f>IF(매핑v2!H17="○",Y21,"")</f>
        <v>100000</v>
      </c>
      <c r="AL21" t="str">
        <f>IF(매핑v2!H17="○","○","X")</f>
        <v>○</v>
      </c>
      <c r="AM21">
        <f>IF(매핑v2!H17="○",AH21,"")</f>
        <v>60000</v>
      </c>
      <c r="AN21" t="str">
        <f>IF(매핑v2!H17="○","○","X")</f>
        <v>○</v>
      </c>
      <c r="AO21">
        <f>IF(매핑v2!I17="○",P21,"")</f>
        <v>20000</v>
      </c>
      <c r="AP21" t="str">
        <f>IF(매핑v2!I17="○","○","X")</f>
        <v>○</v>
      </c>
      <c r="AQ21">
        <f>IF(매핑v2!I17="○",Y21,"")</f>
        <v>100000</v>
      </c>
      <c r="AR21" t="str">
        <f>IF(매핑v2!I17="○","○","X")</f>
        <v>○</v>
      </c>
      <c r="AS21">
        <f>IF(매핑v2!I17="○",AH21,"")</f>
        <v>60000</v>
      </c>
      <c r="AT21" t="str">
        <f>IF(매핑v2!I17="○","○","X")</f>
        <v>○</v>
      </c>
      <c r="AU21">
        <f>IF(매핑v2!J17="○",P21,"")</f>
        <v>20000</v>
      </c>
      <c r="AV21" t="str">
        <f>IF(매핑v2!J17="○","○","X")</f>
        <v>○</v>
      </c>
      <c r="AW21">
        <f>IF(매핑v2!J17="○",Y21,"")</f>
        <v>100000</v>
      </c>
      <c r="AX21" t="str">
        <f>IF(매핑v2!J17="○","○","X")</f>
        <v>○</v>
      </c>
      <c r="AY21">
        <f>IF(매핑v2!J17="○",AH21,"")</f>
        <v>60000</v>
      </c>
      <c r="AZ21" t="str">
        <f>IF(매핑v2!J17="○","○","X")</f>
        <v>○</v>
      </c>
      <c r="BA21">
        <f>IF(매핑v2!K17="○",P21,"")</f>
        <v>20000</v>
      </c>
      <c r="BB21" t="str">
        <f>IF(매핑v2!K17="○","○","X")</f>
        <v>○</v>
      </c>
      <c r="BC21">
        <f>IF(매핑v2!K17="○",Y21,"")</f>
        <v>100000</v>
      </c>
      <c r="BD21" t="str">
        <f>IF(매핑v2!K17="○","○","X")</f>
        <v>○</v>
      </c>
      <c r="BE21">
        <f>IF(매핑v2!K17="○",AH21,"")</f>
        <v>60000</v>
      </c>
      <c r="BF21" t="str">
        <f>IF(매핑v2!K17="○","○","X")</f>
        <v>○</v>
      </c>
      <c r="BG21">
        <f>IF(매핑v2!L17="○",P21,"")</f>
        <v>20000</v>
      </c>
      <c r="BH21" t="str">
        <f>IF(매핑v2!L17="○","○","X")</f>
        <v>○</v>
      </c>
      <c r="BI21">
        <f>IF(매핑v2!L17="○",Y21,"")</f>
        <v>100000</v>
      </c>
      <c r="BJ21" t="s">
        <v>977</v>
      </c>
      <c r="BK21" t="s">
        <v>1102</v>
      </c>
      <c r="BL21" t="s">
        <v>977</v>
      </c>
      <c r="BM21" t="s">
        <v>977</v>
      </c>
      <c r="BN21" t="s">
        <v>977</v>
      </c>
      <c r="BO21" t="s">
        <v>1102</v>
      </c>
    </row>
    <row r="22" spans="1:67" x14ac:dyDescent="0.3">
      <c r="A22">
        <v>21</v>
      </c>
      <c r="B22" t="s">
        <v>182</v>
      </c>
      <c r="C22" t="s">
        <v>626</v>
      </c>
      <c r="D22" t="s">
        <v>63</v>
      </c>
      <c r="E22" t="s">
        <v>742</v>
      </c>
      <c r="F22" t="s">
        <v>957</v>
      </c>
      <c r="G22" t="s">
        <v>503</v>
      </c>
      <c r="H22">
        <v>1</v>
      </c>
      <c r="I22">
        <v>100000</v>
      </c>
      <c r="J22">
        <v>5</v>
      </c>
      <c r="P22">
        <f t="shared" si="0"/>
        <v>1666.6666666666667</v>
      </c>
      <c r="Q22">
        <v>1</v>
      </c>
      <c r="R22">
        <v>160000</v>
      </c>
      <c r="S22">
        <v>2</v>
      </c>
      <c r="Y22">
        <f t="shared" si="1"/>
        <v>6666.666666666667</v>
      </c>
      <c r="Z22">
        <v>1</v>
      </c>
      <c r="AA22">
        <v>20000</v>
      </c>
      <c r="AB22">
        <v>0.25</v>
      </c>
      <c r="AH22">
        <f t="shared" si="2"/>
        <v>6666.666666666667</v>
      </c>
      <c r="AI22">
        <f>IF(매핑v2!H18="○",P22,"")</f>
        <v>1666.6666666666667</v>
      </c>
      <c r="AJ22" t="str">
        <f>IF(매핑v2!H18="○","○","X")</f>
        <v>○</v>
      </c>
      <c r="AK22">
        <f>IF(매핑v2!H18="○",Y22,"")</f>
        <v>6666.666666666667</v>
      </c>
      <c r="AL22" t="str">
        <f>IF(매핑v2!H18="○","○","X")</f>
        <v>○</v>
      </c>
      <c r="AM22">
        <f>IF(매핑v2!H18="○",AH22,"")</f>
        <v>6666.666666666667</v>
      </c>
      <c r="AN22" t="str">
        <f>IF(매핑v2!H18="○","○","X")</f>
        <v>○</v>
      </c>
      <c r="AO22">
        <f>IF(매핑v2!I18="○",P22,"")</f>
        <v>1666.6666666666667</v>
      </c>
      <c r="AP22" t="str">
        <f>IF(매핑v2!I18="○","○","X")</f>
        <v>○</v>
      </c>
      <c r="AQ22">
        <f>IF(매핑v2!I18="○",Y22,"")</f>
        <v>6666.666666666667</v>
      </c>
      <c r="AR22" t="str">
        <f>IF(매핑v2!I18="○","○","X")</f>
        <v>○</v>
      </c>
      <c r="AS22">
        <f>IF(매핑v2!I18="○",AH22,"")</f>
        <v>6666.666666666667</v>
      </c>
      <c r="AT22" t="str">
        <f>IF(매핑v2!I18="○","○","X")</f>
        <v>○</v>
      </c>
      <c r="AU22">
        <f>IF(매핑v2!J18="○",P22,"")</f>
        <v>1666.6666666666667</v>
      </c>
      <c r="AV22" t="str">
        <f>IF(매핑v2!J18="○","○","X")</f>
        <v>○</v>
      </c>
      <c r="AW22">
        <f>IF(매핑v2!J18="○",Y22,"")</f>
        <v>6666.666666666667</v>
      </c>
      <c r="AX22" t="str">
        <f>IF(매핑v2!J18="○","○","X")</f>
        <v>○</v>
      </c>
      <c r="AY22">
        <f>IF(매핑v2!J18="○",AH22,"")</f>
        <v>6666.666666666667</v>
      </c>
      <c r="AZ22" t="str">
        <f>IF(매핑v2!J18="○","○","X")</f>
        <v>○</v>
      </c>
      <c r="BA22">
        <f>IF(매핑v2!K18="○",P22,"")</f>
        <v>1666.6666666666667</v>
      </c>
      <c r="BB22" t="str">
        <f>IF(매핑v2!K18="○","○","X")</f>
        <v>○</v>
      </c>
      <c r="BC22">
        <f>IF(매핑v2!K18="○",Y22,"")</f>
        <v>6666.666666666667</v>
      </c>
      <c r="BD22" t="str">
        <f>IF(매핑v2!K18="○","○","X")</f>
        <v>○</v>
      </c>
      <c r="BE22">
        <f>IF(매핑v2!K18="○",AH22,"")</f>
        <v>6666.666666666667</v>
      </c>
      <c r="BF22" t="str">
        <f>IF(매핑v2!K18="○","○","X")</f>
        <v>○</v>
      </c>
      <c r="BG22">
        <f>IF(매핑v2!L18="○",P22,"")</f>
        <v>1666.6666666666667</v>
      </c>
      <c r="BH22" t="str">
        <f>IF(매핑v2!L18="○","○","X")</f>
        <v>○</v>
      </c>
      <c r="BI22">
        <f>IF(매핑v2!L18="○",Y22,"")</f>
        <v>6666.666666666667</v>
      </c>
      <c r="BJ22" t="s">
        <v>977</v>
      </c>
      <c r="BK22" t="s">
        <v>1102</v>
      </c>
      <c r="BL22" t="s">
        <v>977</v>
      </c>
      <c r="BM22" t="s">
        <v>977</v>
      </c>
      <c r="BN22" t="s">
        <v>977</v>
      </c>
      <c r="BO22" t="s">
        <v>1102</v>
      </c>
    </row>
    <row r="23" spans="1:67" x14ac:dyDescent="0.3">
      <c r="A23">
        <v>22</v>
      </c>
      <c r="B23" t="s">
        <v>182</v>
      </c>
      <c r="C23" t="s">
        <v>628</v>
      </c>
      <c r="D23" t="s">
        <v>123</v>
      </c>
      <c r="E23" t="s">
        <v>630</v>
      </c>
      <c r="F23" t="s">
        <v>297</v>
      </c>
      <c r="G23" t="s">
        <v>515</v>
      </c>
      <c r="H23">
        <v>1</v>
      </c>
      <c r="I23">
        <v>10000</v>
      </c>
      <c r="J23">
        <v>8</v>
      </c>
      <c r="P23">
        <f t="shared" si="0"/>
        <v>104.16666666666667</v>
      </c>
      <c r="Q23">
        <v>1</v>
      </c>
      <c r="R23">
        <v>80000</v>
      </c>
      <c r="S23">
        <v>2</v>
      </c>
      <c r="Y23">
        <f t="shared" si="1"/>
        <v>3333.3333333333335</v>
      </c>
      <c r="Z23">
        <v>1</v>
      </c>
      <c r="AA23">
        <v>10000</v>
      </c>
      <c r="AB23">
        <v>10</v>
      </c>
      <c r="AH23">
        <f t="shared" si="2"/>
        <v>83.333333333333329</v>
      </c>
      <c r="AI23">
        <f>IF(매핑v2!H19="○",P23,"")</f>
        <v>104.16666666666667</v>
      </c>
      <c r="AJ23" t="str">
        <f>IF(매핑v2!H19="○","○","X")</f>
        <v>○</v>
      </c>
      <c r="AK23">
        <f>IF(매핑v2!H19="○",Y23,"")</f>
        <v>3333.3333333333335</v>
      </c>
      <c r="AL23" t="str">
        <f>IF(매핑v2!H19="○","○","X")</f>
        <v>○</v>
      </c>
      <c r="AM23">
        <f>IF(매핑v2!H19="○",AH23,"")</f>
        <v>83.333333333333329</v>
      </c>
      <c r="AN23" t="str">
        <f>IF(매핑v2!H19="○","○","X")</f>
        <v>○</v>
      </c>
      <c r="AO23">
        <f>IF(매핑v2!I19="○",P23,"")</f>
        <v>104.16666666666667</v>
      </c>
      <c r="AP23" t="str">
        <f>IF(매핑v2!I19="○","○","X")</f>
        <v>○</v>
      </c>
      <c r="AQ23">
        <f>IF(매핑v2!I19="○",Y23,"")</f>
        <v>3333.3333333333335</v>
      </c>
      <c r="AR23" t="str">
        <f>IF(매핑v2!I19="○","○","X")</f>
        <v>○</v>
      </c>
      <c r="AS23">
        <f>IF(매핑v2!I19="○",AH23,"")</f>
        <v>83.333333333333329</v>
      </c>
      <c r="AT23" t="str">
        <f>IF(매핑v2!I19="○","○","X")</f>
        <v>○</v>
      </c>
      <c r="AU23">
        <f>IF(매핑v2!J19="○",P23,"")</f>
        <v>104.16666666666667</v>
      </c>
      <c r="AV23" t="str">
        <f>IF(매핑v2!J19="○","○","X")</f>
        <v>○</v>
      </c>
      <c r="AW23">
        <f>IF(매핑v2!J19="○",Y23,"")</f>
        <v>3333.3333333333335</v>
      </c>
      <c r="AX23" t="str">
        <f>IF(매핑v2!J19="○","○","X")</f>
        <v>○</v>
      </c>
      <c r="AY23">
        <f>IF(매핑v2!J19="○",AH23,"")</f>
        <v>83.333333333333329</v>
      </c>
      <c r="AZ23" t="str">
        <f>IF(매핑v2!J19="○","○","X")</f>
        <v>○</v>
      </c>
      <c r="BA23">
        <f>IF(매핑v2!K19="○",P23,"")</f>
        <v>104.16666666666667</v>
      </c>
      <c r="BB23" t="str">
        <f>IF(매핑v2!K19="○","○","X")</f>
        <v>○</v>
      </c>
      <c r="BC23">
        <f>IF(매핑v2!K19="○",Y23,"")</f>
        <v>3333.3333333333335</v>
      </c>
      <c r="BD23" t="str">
        <f>IF(매핑v2!K19="○","○","X")</f>
        <v>○</v>
      </c>
      <c r="BE23">
        <f>IF(매핑v2!K19="○",AH23,"")</f>
        <v>83.333333333333329</v>
      </c>
      <c r="BF23" t="str">
        <f>IF(매핑v2!K19="○","○","X")</f>
        <v>○</v>
      </c>
      <c r="BG23">
        <f>IF(매핑v2!L19="○",P23,"")</f>
        <v>104.16666666666667</v>
      </c>
      <c r="BH23" t="str">
        <f>IF(매핑v2!L19="○","○","X")</f>
        <v>○</v>
      </c>
      <c r="BI23">
        <f>IF(매핑v2!L19="○",Y23,"")</f>
        <v>3333.3333333333335</v>
      </c>
      <c r="BJ23" t="s">
        <v>977</v>
      </c>
      <c r="BK23" t="s">
        <v>1102</v>
      </c>
      <c r="BL23" t="s">
        <v>977</v>
      </c>
      <c r="BM23" t="s">
        <v>977</v>
      </c>
      <c r="BN23" t="s">
        <v>1102</v>
      </c>
      <c r="BO23" t="s">
        <v>1102</v>
      </c>
    </row>
    <row r="24" spans="1:67" x14ac:dyDescent="0.3">
      <c r="A24">
        <v>23</v>
      </c>
      <c r="B24" t="s">
        <v>182</v>
      </c>
      <c r="C24" t="s">
        <v>631</v>
      </c>
      <c r="D24" t="s">
        <v>104</v>
      </c>
      <c r="E24" t="s">
        <v>633</v>
      </c>
      <c r="F24" t="s">
        <v>304</v>
      </c>
      <c r="G24" t="s">
        <v>528</v>
      </c>
      <c r="H24">
        <v>1</v>
      </c>
      <c r="I24">
        <v>20000</v>
      </c>
      <c r="J24">
        <v>2</v>
      </c>
      <c r="P24">
        <f t="shared" si="0"/>
        <v>833.33333333333337</v>
      </c>
      <c r="Q24">
        <v>3</v>
      </c>
      <c r="W24">
        <v>50000</v>
      </c>
      <c r="X24">
        <v>1</v>
      </c>
      <c r="Y24">
        <f t="shared" si="1"/>
        <v>4166.666666666667</v>
      </c>
      <c r="Z24">
        <v>3</v>
      </c>
      <c r="AF24">
        <v>20000</v>
      </c>
      <c r="AG24">
        <v>2</v>
      </c>
      <c r="AH24">
        <f t="shared" si="2"/>
        <v>833.33333333333337</v>
      </c>
      <c r="AI24">
        <f>IF(매핑v2!H20="○",P24,"")</f>
        <v>833.33333333333337</v>
      </c>
      <c r="AJ24" t="str">
        <f>IF(매핑v2!H20="○","○","X")</f>
        <v>○</v>
      </c>
      <c r="AK24">
        <f>IF(매핑v2!H20="○",Y24,"")</f>
        <v>4166.666666666667</v>
      </c>
      <c r="AL24" t="str">
        <f>IF(매핑v2!H20="○","○","X")</f>
        <v>○</v>
      </c>
      <c r="AM24">
        <f>IF(매핑v2!H20="○",AH24,"")</f>
        <v>833.33333333333337</v>
      </c>
      <c r="AN24" t="str">
        <f>IF(매핑v2!H20="○","○","X")</f>
        <v>○</v>
      </c>
      <c r="AO24">
        <f>IF(매핑v2!I20="○",P24,"")</f>
        <v>833.33333333333337</v>
      </c>
      <c r="AP24" t="str">
        <f>IF(매핑v2!I20="○","○","X")</f>
        <v>○</v>
      </c>
      <c r="AQ24">
        <f>IF(매핑v2!I20="○",Y24,"")</f>
        <v>4166.666666666667</v>
      </c>
      <c r="AR24" t="str">
        <f>IF(매핑v2!I20="○","○","X")</f>
        <v>○</v>
      </c>
      <c r="AS24">
        <f>IF(매핑v2!I20="○",AH24,"")</f>
        <v>833.33333333333337</v>
      </c>
      <c r="AT24" t="str">
        <f>IF(매핑v2!I20="○","○","X")</f>
        <v>○</v>
      </c>
      <c r="AU24">
        <f>IF(매핑v2!J20="○",P24,"")</f>
        <v>833.33333333333337</v>
      </c>
      <c r="AV24" t="str">
        <f>IF(매핑v2!J20="○","○","X")</f>
        <v>○</v>
      </c>
      <c r="AW24">
        <f>IF(매핑v2!J20="○",Y24,"")</f>
        <v>4166.666666666667</v>
      </c>
      <c r="AX24" t="str">
        <f>IF(매핑v2!J20="○","○","X")</f>
        <v>○</v>
      </c>
      <c r="AY24">
        <f>IF(매핑v2!J20="○",AH24,"")</f>
        <v>833.33333333333337</v>
      </c>
      <c r="AZ24" t="str">
        <f>IF(매핑v2!J20="○","○","X")</f>
        <v>○</v>
      </c>
      <c r="BA24">
        <f>IF(매핑v2!K20="○",P24,"")</f>
        <v>833.33333333333337</v>
      </c>
      <c r="BB24" t="str">
        <f>IF(매핑v2!K20="○","○","X")</f>
        <v>○</v>
      </c>
      <c r="BC24">
        <f>IF(매핑v2!K20="○",Y24,"")</f>
        <v>4166.666666666667</v>
      </c>
      <c r="BD24" t="str">
        <f>IF(매핑v2!K20="○","○","X")</f>
        <v>○</v>
      </c>
      <c r="BE24">
        <f>IF(매핑v2!K20="○",AH24,"")</f>
        <v>833.33333333333337</v>
      </c>
      <c r="BF24" t="str">
        <f>IF(매핑v2!K20="○","○","X")</f>
        <v>○</v>
      </c>
      <c r="BG24">
        <f>IF(매핑v2!L20="○",P24,"")</f>
        <v>833.33333333333337</v>
      </c>
      <c r="BH24" t="str">
        <f>IF(매핑v2!L20="○","○","X")</f>
        <v>○</v>
      </c>
      <c r="BI24">
        <f>IF(매핑v2!L20="○",Y24,"")</f>
        <v>4166.666666666667</v>
      </c>
      <c r="BJ24" t="s">
        <v>977</v>
      </c>
      <c r="BK24" t="s">
        <v>1102</v>
      </c>
      <c r="BL24" t="s">
        <v>1102</v>
      </c>
      <c r="BM24" t="s">
        <v>977</v>
      </c>
      <c r="BN24" t="s">
        <v>1102</v>
      </c>
      <c r="BO24" t="s">
        <v>1102</v>
      </c>
    </row>
    <row r="25" spans="1:67" x14ac:dyDescent="0.3">
      <c r="A25">
        <v>24</v>
      </c>
      <c r="B25" t="s">
        <v>182</v>
      </c>
      <c r="C25" t="s">
        <v>634</v>
      </c>
      <c r="D25" t="s">
        <v>20</v>
      </c>
      <c r="E25" t="s">
        <v>792</v>
      </c>
      <c r="F25" t="s">
        <v>904</v>
      </c>
      <c r="G25" t="s">
        <v>905</v>
      </c>
      <c r="H25">
        <v>2</v>
      </c>
      <c r="K25">
        <v>2</v>
      </c>
      <c r="L25">
        <v>1</v>
      </c>
      <c r="M25">
        <v>100000</v>
      </c>
      <c r="P25">
        <f t="shared" si="0"/>
        <v>200000</v>
      </c>
      <c r="Q25">
        <v>2</v>
      </c>
      <c r="T25">
        <v>4</v>
      </c>
      <c r="U25">
        <v>1</v>
      </c>
      <c r="V25">
        <v>100000</v>
      </c>
      <c r="Y25">
        <f t="shared" si="1"/>
        <v>400000</v>
      </c>
      <c r="Z25">
        <v>2</v>
      </c>
      <c r="AC25">
        <v>4</v>
      </c>
      <c r="AD25">
        <v>1</v>
      </c>
      <c r="AE25">
        <v>20000</v>
      </c>
      <c r="AH25">
        <f t="shared" si="2"/>
        <v>80000</v>
      </c>
      <c r="AI25">
        <f>IF(매핑v2!H21="○",P25,"")</f>
        <v>200000</v>
      </c>
      <c r="AJ25" t="str">
        <f>IF(매핑v2!H21="○","○","X")</f>
        <v>○</v>
      </c>
      <c r="AK25">
        <f>IF(매핑v2!H21="○",Y25,"")</f>
        <v>400000</v>
      </c>
      <c r="AL25" t="str">
        <f>IF(매핑v2!H21="○","○","X")</f>
        <v>○</v>
      </c>
      <c r="AM25">
        <f>IF(매핑v2!H21="○",AH25,"")</f>
        <v>80000</v>
      </c>
      <c r="AN25" t="str">
        <f>IF(매핑v2!H21="○","○","X")</f>
        <v>○</v>
      </c>
      <c r="AO25">
        <f>IF(매핑v2!I21="○",P25,"")</f>
        <v>200000</v>
      </c>
      <c r="AP25" t="str">
        <f>IF(매핑v2!I21="○","○","X")</f>
        <v>○</v>
      </c>
      <c r="AQ25">
        <f>IF(매핑v2!I21="○",Y25,"")</f>
        <v>400000</v>
      </c>
      <c r="AR25" t="str">
        <f>IF(매핑v2!I21="○","○","X")</f>
        <v>○</v>
      </c>
      <c r="AS25">
        <f>IF(매핑v2!I21="○",AH25,"")</f>
        <v>80000</v>
      </c>
      <c r="AT25" t="str">
        <f>IF(매핑v2!I21="○","○","X")</f>
        <v>○</v>
      </c>
      <c r="AU25">
        <f>IF(매핑v2!J21="○",P25,"")</f>
        <v>200000</v>
      </c>
      <c r="AV25" t="str">
        <f>IF(매핑v2!J21="○","○","X")</f>
        <v>○</v>
      </c>
      <c r="AW25">
        <f>IF(매핑v2!J21="○",Y25,"")</f>
        <v>400000</v>
      </c>
      <c r="AX25" t="str">
        <f>IF(매핑v2!J21="○","○","X")</f>
        <v>○</v>
      </c>
      <c r="AY25">
        <f>IF(매핑v2!J21="○",AH25,"")</f>
        <v>80000</v>
      </c>
      <c r="AZ25" t="str">
        <f>IF(매핑v2!J21="○","○","X")</f>
        <v>○</v>
      </c>
      <c r="BA25">
        <f>IF(매핑v2!K21="○",P25,"")</f>
        <v>200000</v>
      </c>
      <c r="BB25" t="str">
        <f>IF(매핑v2!K21="○","○","X")</f>
        <v>○</v>
      </c>
      <c r="BC25">
        <f>IF(매핑v2!K21="○",Y25,"")</f>
        <v>400000</v>
      </c>
      <c r="BD25" t="str">
        <f>IF(매핑v2!K21="○","○","X")</f>
        <v>○</v>
      </c>
      <c r="BE25">
        <f>IF(매핑v2!K21="○",AH25,"")</f>
        <v>80000</v>
      </c>
      <c r="BF25" t="str">
        <f>IF(매핑v2!K21="○","○","X")</f>
        <v>○</v>
      </c>
      <c r="BG25">
        <f>IF(매핑v2!L21="○",P25,"")</f>
        <v>200000</v>
      </c>
      <c r="BH25" t="str">
        <f>IF(매핑v2!L21="○","○","X")</f>
        <v>○</v>
      </c>
      <c r="BI25">
        <f>IF(매핑v2!L21="○",Y25,"")</f>
        <v>400000</v>
      </c>
      <c r="BJ25" t="s">
        <v>977</v>
      </c>
      <c r="BK25" t="s">
        <v>1102</v>
      </c>
      <c r="BL25" t="s">
        <v>977</v>
      </c>
      <c r="BM25" t="s">
        <v>977</v>
      </c>
      <c r="BN25" t="s">
        <v>1102</v>
      </c>
      <c r="BO25" t="s">
        <v>1102</v>
      </c>
    </row>
    <row r="26" spans="1:67" x14ac:dyDescent="0.3">
      <c r="A26">
        <v>25</v>
      </c>
      <c r="B26" t="s">
        <v>182</v>
      </c>
      <c r="C26" t="s">
        <v>635</v>
      </c>
      <c r="D26" t="s">
        <v>20</v>
      </c>
      <c r="E26" t="s">
        <v>1064</v>
      </c>
      <c r="F26" t="s">
        <v>906</v>
      </c>
      <c r="G26" t="s">
        <v>907</v>
      </c>
      <c r="H26">
        <v>2</v>
      </c>
      <c r="K26">
        <v>1</v>
      </c>
      <c r="L26">
        <v>1</v>
      </c>
      <c r="M26">
        <v>20000</v>
      </c>
      <c r="P26">
        <f t="shared" si="0"/>
        <v>20000</v>
      </c>
      <c r="Q26">
        <v>2</v>
      </c>
      <c r="T26">
        <v>8</v>
      </c>
      <c r="U26">
        <v>1</v>
      </c>
      <c r="V26">
        <v>25000</v>
      </c>
      <c r="Y26">
        <f t="shared" si="1"/>
        <v>200000</v>
      </c>
      <c r="Z26">
        <v>2</v>
      </c>
      <c r="AC26">
        <v>8</v>
      </c>
      <c r="AD26">
        <v>1</v>
      </c>
      <c r="AE26">
        <v>20000</v>
      </c>
      <c r="AH26">
        <f t="shared" si="2"/>
        <v>160000</v>
      </c>
      <c r="AI26">
        <f>IF(매핑v2!H22="○",P26,"")</f>
        <v>20000</v>
      </c>
      <c r="AJ26" t="str">
        <f>IF(매핑v2!H22="○","○","X")</f>
        <v>○</v>
      </c>
      <c r="AK26">
        <f>IF(매핑v2!H22="○",Y26,"")</f>
        <v>200000</v>
      </c>
      <c r="AL26" t="str">
        <f>IF(매핑v2!H22="○","○","X")</f>
        <v>○</v>
      </c>
      <c r="AM26">
        <f>IF(매핑v2!H22="○",AH26,"")</f>
        <v>160000</v>
      </c>
      <c r="AN26" t="str">
        <f>IF(매핑v2!H22="○","○","X")</f>
        <v>○</v>
      </c>
      <c r="AO26">
        <f>IF(매핑v2!I22="○",P26,"")</f>
        <v>20000</v>
      </c>
      <c r="AP26" t="str">
        <f>IF(매핑v2!I22="○","○","X")</f>
        <v>○</v>
      </c>
      <c r="AQ26">
        <f>IF(매핑v2!I22="○",Y26,"")</f>
        <v>200000</v>
      </c>
      <c r="AR26" t="str">
        <f>IF(매핑v2!I22="○","○","X")</f>
        <v>○</v>
      </c>
      <c r="AS26">
        <f>IF(매핑v2!I22="○",AH26,"")</f>
        <v>160000</v>
      </c>
      <c r="AT26" t="str">
        <f>IF(매핑v2!I22="○","○","X")</f>
        <v>○</v>
      </c>
      <c r="AU26">
        <f>IF(매핑v2!J22="○",P26,"")</f>
        <v>20000</v>
      </c>
      <c r="AV26" t="str">
        <f>IF(매핑v2!J22="○","○","X")</f>
        <v>○</v>
      </c>
      <c r="AW26">
        <f>IF(매핑v2!J22="○",Y26,"")</f>
        <v>200000</v>
      </c>
      <c r="AX26" t="str">
        <f>IF(매핑v2!J22="○","○","X")</f>
        <v>○</v>
      </c>
      <c r="AY26">
        <f>IF(매핑v2!J22="○",AH26,"")</f>
        <v>160000</v>
      </c>
      <c r="AZ26" t="str">
        <f>IF(매핑v2!J22="○","○","X")</f>
        <v>○</v>
      </c>
      <c r="BA26" t="str">
        <f>IF(매핑v2!K22="○",P26,"")</f>
        <v/>
      </c>
      <c r="BB26" t="str">
        <f>IF(매핑v2!K22="○","○","X")</f>
        <v>X</v>
      </c>
      <c r="BC26" t="str">
        <f>IF(매핑v2!K22="○",Y26,"")</f>
        <v/>
      </c>
      <c r="BD26" t="str">
        <f>IF(매핑v2!K22="○","○","X")</f>
        <v>X</v>
      </c>
      <c r="BE26" t="str">
        <f>IF(매핑v2!K22="○",AH26,"")</f>
        <v/>
      </c>
      <c r="BF26" t="str">
        <f>IF(매핑v2!K22="○","○","X")</f>
        <v>X</v>
      </c>
      <c r="BG26">
        <f>IF(매핑v2!L22="○",P26,"")</f>
        <v>20000</v>
      </c>
      <c r="BH26" t="str">
        <f>IF(매핑v2!L22="○","○","X")</f>
        <v>○</v>
      </c>
      <c r="BI26">
        <f>IF(매핑v2!L22="○",Y26,"")</f>
        <v>200000</v>
      </c>
      <c r="BJ26" t="s">
        <v>977</v>
      </c>
      <c r="BK26" t="s">
        <v>1102</v>
      </c>
      <c r="BL26" t="s">
        <v>977</v>
      </c>
      <c r="BM26" t="s">
        <v>977</v>
      </c>
      <c r="BN26" t="s">
        <v>1102</v>
      </c>
      <c r="BO26" t="s">
        <v>1102</v>
      </c>
    </row>
    <row r="27" spans="1:67" x14ac:dyDescent="0.3">
      <c r="A27">
        <v>26</v>
      </c>
      <c r="B27" t="s">
        <v>182</v>
      </c>
      <c r="C27" t="s">
        <v>636</v>
      </c>
      <c r="D27" t="s">
        <v>63</v>
      </c>
      <c r="E27" t="s">
        <v>794</v>
      </c>
      <c r="F27" t="s">
        <v>908</v>
      </c>
      <c r="G27" t="s">
        <v>909</v>
      </c>
      <c r="H27">
        <v>2</v>
      </c>
      <c r="K27">
        <v>1</v>
      </c>
      <c r="L27">
        <v>1</v>
      </c>
      <c r="M27">
        <v>15000</v>
      </c>
      <c r="P27">
        <f t="shared" si="0"/>
        <v>15000</v>
      </c>
      <c r="Q27">
        <v>2</v>
      </c>
      <c r="T27">
        <v>1</v>
      </c>
      <c r="U27">
        <v>1</v>
      </c>
      <c r="V27">
        <v>30000</v>
      </c>
      <c r="Y27">
        <f t="shared" si="1"/>
        <v>30000</v>
      </c>
      <c r="Z27">
        <v>2</v>
      </c>
      <c r="AC27">
        <v>1</v>
      </c>
      <c r="AD27">
        <v>1</v>
      </c>
      <c r="AE27">
        <v>10000</v>
      </c>
      <c r="AH27">
        <f t="shared" si="2"/>
        <v>10000</v>
      </c>
      <c r="AI27">
        <f>IF(매핑v2!H23="○",P27,"")</f>
        <v>15000</v>
      </c>
      <c r="AJ27" t="str">
        <f>IF(매핑v2!H23="○","○","X")</f>
        <v>○</v>
      </c>
      <c r="AK27">
        <f>IF(매핑v2!H23="○",Y27,"")</f>
        <v>30000</v>
      </c>
      <c r="AL27" t="str">
        <f>IF(매핑v2!H23="○","○","X")</f>
        <v>○</v>
      </c>
      <c r="AM27">
        <f>IF(매핑v2!H23="○",AH27,"")</f>
        <v>10000</v>
      </c>
      <c r="AN27" t="str">
        <f>IF(매핑v2!H23="○","○","X")</f>
        <v>○</v>
      </c>
      <c r="AO27">
        <f>IF(매핑v2!I23="○",P27,"")</f>
        <v>15000</v>
      </c>
      <c r="AP27" t="str">
        <f>IF(매핑v2!I23="○","○","X")</f>
        <v>○</v>
      </c>
      <c r="AQ27">
        <f>IF(매핑v2!I23="○",Y27,"")</f>
        <v>30000</v>
      </c>
      <c r="AR27" t="str">
        <f>IF(매핑v2!I23="○","○","X")</f>
        <v>○</v>
      </c>
      <c r="AS27">
        <f>IF(매핑v2!I23="○",AH27,"")</f>
        <v>10000</v>
      </c>
      <c r="AT27" t="str">
        <f>IF(매핑v2!I23="○","○","X")</f>
        <v>○</v>
      </c>
      <c r="AU27">
        <f>IF(매핑v2!J23="○",P27,"")</f>
        <v>15000</v>
      </c>
      <c r="AV27" t="str">
        <f>IF(매핑v2!J23="○","○","X")</f>
        <v>○</v>
      </c>
      <c r="AW27">
        <f>IF(매핑v2!J23="○",Y27,"")</f>
        <v>30000</v>
      </c>
      <c r="AX27" t="str">
        <f>IF(매핑v2!J23="○","○","X")</f>
        <v>○</v>
      </c>
      <c r="AY27">
        <f>IF(매핑v2!J23="○",AH27,"")</f>
        <v>10000</v>
      </c>
      <c r="AZ27" t="str">
        <f>IF(매핑v2!J23="○","○","X")</f>
        <v>○</v>
      </c>
      <c r="BA27" t="str">
        <f>IF(매핑v2!K23="○",P27,"")</f>
        <v/>
      </c>
      <c r="BB27" t="str">
        <f>IF(매핑v2!K23="○","○","X")</f>
        <v>X</v>
      </c>
      <c r="BC27" t="str">
        <f>IF(매핑v2!K23="○",Y27,"")</f>
        <v/>
      </c>
      <c r="BD27" t="str">
        <f>IF(매핑v2!K23="○","○","X")</f>
        <v>X</v>
      </c>
      <c r="BE27" t="str">
        <f>IF(매핑v2!K23="○",AH27,"")</f>
        <v/>
      </c>
      <c r="BF27" t="str">
        <f>IF(매핑v2!K23="○","○","X")</f>
        <v>X</v>
      </c>
      <c r="BG27">
        <f>IF(매핑v2!L23="○",P27,"")</f>
        <v>15000</v>
      </c>
      <c r="BH27" t="str">
        <f>IF(매핑v2!L23="○","○","X")</f>
        <v>○</v>
      </c>
      <c r="BI27">
        <f>IF(매핑v2!L23="○",Y27,"")</f>
        <v>30000</v>
      </c>
      <c r="BJ27" t="s">
        <v>977</v>
      </c>
      <c r="BK27" t="s">
        <v>1102</v>
      </c>
      <c r="BL27" t="s">
        <v>977</v>
      </c>
      <c r="BM27" t="s">
        <v>977</v>
      </c>
      <c r="BN27" t="s">
        <v>1102</v>
      </c>
      <c r="BO27" t="s">
        <v>1102</v>
      </c>
    </row>
    <row r="28" spans="1:67" x14ac:dyDescent="0.3">
      <c r="A28">
        <v>27</v>
      </c>
      <c r="B28" t="s">
        <v>187</v>
      </c>
      <c r="C28" t="s">
        <v>637</v>
      </c>
      <c r="D28" t="s">
        <v>91</v>
      </c>
      <c r="E28" t="s">
        <v>826</v>
      </c>
      <c r="F28" t="s">
        <v>492</v>
      </c>
      <c r="G28" t="s">
        <v>493</v>
      </c>
      <c r="H28">
        <v>1</v>
      </c>
      <c r="I28">
        <v>6000</v>
      </c>
      <c r="J28">
        <v>0.5</v>
      </c>
      <c r="P28">
        <f t="shared" si="0"/>
        <v>1000</v>
      </c>
      <c r="Q28">
        <v>1</v>
      </c>
      <c r="T28">
        <v>1</v>
      </c>
      <c r="U28">
        <v>1</v>
      </c>
      <c r="V28">
        <v>20000</v>
      </c>
      <c r="Y28" t="str">
        <f t="shared" si="1"/>
        <v/>
      </c>
      <c r="Z28">
        <v>3</v>
      </c>
      <c r="AF28">
        <v>2000</v>
      </c>
      <c r="AG28">
        <v>0.25</v>
      </c>
      <c r="AH28">
        <f t="shared" si="2"/>
        <v>666.66666666666663</v>
      </c>
      <c r="AI28">
        <f>IF(매핑v2!H24="○",P28,"")</f>
        <v>1000</v>
      </c>
      <c r="AJ28" t="str">
        <f>IF(매핑v2!H24="○","○","X")</f>
        <v>○</v>
      </c>
      <c r="AK28" t="str">
        <f>IF(매핑v2!H24="○",Y28,"")</f>
        <v/>
      </c>
      <c r="AL28" t="str">
        <f>IF(매핑v2!H24="○","○","X")</f>
        <v>○</v>
      </c>
      <c r="AM28">
        <f>IF(매핑v2!H24="○",AH28,"")</f>
        <v>666.66666666666663</v>
      </c>
      <c r="AN28" t="str">
        <f>IF(매핑v2!H24="○","○","X")</f>
        <v>○</v>
      </c>
      <c r="AO28" t="str">
        <f>IF(매핑v2!I24="○",P28,"")</f>
        <v/>
      </c>
      <c r="AP28" t="str">
        <f>IF(매핑v2!I24="○","○","X")</f>
        <v>X</v>
      </c>
      <c r="AQ28" t="str">
        <f>IF(매핑v2!I24="○",Y28,"")</f>
        <v/>
      </c>
      <c r="AR28" t="str">
        <f>IF(매핑v2!I24="○","○","X")</f>
        <v>X</v>
      </c>
      <c r="AS28" t="str">
        <f>IF(매핑v2!I24="○",AH28,"")</f>
        <v/>
      </c>
      <c r="AT28" t="str">
        <f>IF(매핑v2!I24="○","○","X")</f>
        <v>X</v>
      </c>
      <c r="AU28">
        <f>IF(매핑v2!J24="○",P28,"")</f>
        <v>1000</v>
      </c>
      <c r="AV28" t="str">
        <f>IF(매핑v2!J24="○","○","X")</f>
        <v>○</v>
      </c>
      <c r="AW28" t="str">
        <f>IF(매핑v2!J24="○",Y28,"")</f>
        <v/>
      </c>
      <c r="AX28" t="str">
        <f>IF(매핑v2!J24="○","○","X")</f>
        <v>○</v>
      </c>
      <c r="AY28">
        <f>IF(매핑v2!J24="○",AH28,"")</f>
        <v>666.66666666666663</v>
      </c>
      <c r="AZ28" t="str">
        <f>IF(매핑v2!J24="○","○","X")</f>
        <v>○</v>
      </c>
      <c r="BA28">
        <f>IF(매핑v2!K24="○",P28,"")</f>
        <v>1000</v>
      </c>
      <c r="BB28" t="str">
        <f>IF(매핑v2!K24="○","○","X")</f>
        <v>○</v>
      </c>
      <c r="BC28" t="str">
        <f>IF(매핑v2!K24="○",Y28,"")</f>
        <v/>
      </c>
      <c r="BD28" t="str">
        <f>IF(매핑v2!K24="○","○","X")</f>
        <v>○</v>
      </c>
      <c r="BE28">
        <f>IF(매핑v2!K24="○",AH28,"")</f>
        <v>666.66666666666663</v>
      </c>
      <c r="BF28" t="str">
        <f>IF(매핑v2!K24="○","○","X")</f>
        <v>○</v>
      </c>
      <c r="BG28">
        <f>IF(매핑v2!L24="○",P28,"")</f>
        <v>1000</v>
      </c>
      <c r="BH28" t="str">
        <f>IF(매핑v2!L24="○","○","X")</f>
        <v>○</v>
      </c>
      <c r="BI28" t="str">
        <f>IF(매핑v2!L24="○",Y28,"")</f>
        <v/>
      </c>
      <c r="BJ28" t="s">
        <v>977</v>
      </c>
      <c r="BK28" t="s">
        <v>1102</v>
      </c>
      <c r="BL28" t="s">
        <v>977</v>
      </c>
      <c r="BM28" t="s">
        <v>977</v>
      </c>
      <c r="BN28" t="s">
        <v>977</v>
      </c>
      <c r="BO28" t="s">
        <v>1102</v>
      </c>
    </row>
    <row r="29" spans="1:67" x14ac:dyDescent="0.3">
      <c r="A29">
        <v>28</v>
      </c>
      <c r="B29" t="s">
        <v>187</v>
      </c>
      <c r="C29" t="s">
        <v>639</v>
      </c>
      <c r="D29" t="s">
        <v>63</v>
      </c>
      <c r="E29" t="s">
        <v>1065</v>
      </c>
      <c r="F29" t="s">
        <v>1066</v>
      </c>
      <c r="G29" t="s">
        <v>495</v>
      </c>
      <c r="H29">
        <v>1</v>
      </c>
      <c r="I29">
        <f>4*50000</f>
        <v>200000</v>
      </c>
      <c r="J29">
        <v>4</v>
      </c>
      <c r="P29">
        <f t="shared" si="0"/>
        <v>4166.666666666667</v>
      </c>
      <c r="Q29">
        <v>1</v>
      </c>
      <c r="T29">
        <v>1</v>
      </c>
      <c r="U29">
        <v>0.5</v>
      </c>
      <c r="V29">
        <v>200000</v>
      </c>
      <c r="Y29" t="str">
        <f t="shared" si="1"/>
        <v/>
      </c>
      <c r="Z29">
        <v>1</v>
      </c>
      <c r="AA29">
        <v>20000</v>
      </c>
      <c r="AB29">
        <v>0.5</v>
      </c>
      <c r="AH29">
        <f t="shared" si="2"/>
        <v>3333.3333333333335</v>
      </c>
      <c r="AI29">
        <f>IF(매핑v2!H25="○",P29,"")</f>
        <v>4166.666666666667</v>
      </c>
      <c r="AJ29" t="str">
        <f>IF(매핑v2!H25="○","○","X")</f>
        <v>○</v>
      </c>
      <c r="AK29" t="str">
        <f>IF(매핑v2!H25="○",Y29,"")</f>
        <v/>
      </c>
      <c r="AL29" t="str">
        <f>IF(매핑v2!H25="○","○","X")</f>
        <v>○</v>
      </c>
      <c r="AM29">
        <f>IF(매핑v2!H25="○",AH29,"")</f>
        <v>3333.3333333333335</v>
      </c>
      <c r="AN29" t="str">
        <f>IF(매핑v2!H25="○","○","X")</f>
        <v>○</v>
      </c>
      <c r="AO29">
        <f>IF(매핑v2!I25="○",P29,"")</f>
        <v>4166.666666666667</v>
      </c>
      <c r="AP29" t="str">
        <f>IF(매핑v2!I25="○","○","X")</f>
        <v>○</v>
      </c>
      <c r="AQ29" t="str">
        <f>IF(매핑v2!I25="○",Y29,"")</f>
        <v/>
      </c>
      <c r="AR29" t="str">
        <f>IF(매핑v2!I25="○","○","X")</f>
        <v>○</v>
      </c>
      <c r="AS29">
        <f>IF(매핑v2!I25="○",AH29,"")</f>
        <v>3333.3333333333335</v>
      </c>
      <c r="AT29" t="str">
        <f>IF(매핑v2!I25="○","○","X")</f>
        <v>○</v>
      </c>
      <c r="AU29">
        <f>IF(매핑v2!J25="○",P29,"")</f>
        <v>4166.666666666667</v>
      </c>
      <c r="AV29" t="str">
        <f>IF(매핑v2!J25="○","○","X")</f>
        <v>○</v>
      </c>
      <c r="AW29" t="str">
        <f>IF(매핑v2!J25="○",Y29,"")</f>
        <v/>
      </c>
      <c r="AX29" t="str">
        <f>IF(매핑v2!J25="○","○","X")</f>
        <v>○</v>
      </c>
      <c r="AY29">
        <f>IF(매핑v2!J25="○",AH29,"")</f>
        <v>3333.3333333333335</v>
      </c>
      <c r="AZ29" t="str">
        <f>IF(매핑v2!J25="○","○","X")</f>
        <v>○</v>
      </c>
      <c r="BA29">
        <f>IF(매핑v2!K25="○",P29,"")</f>
        <v>4166.666666666667</v>
      </c>
      <c r="BB29" t="str">
        <f>IF(매핑v2!K25="○","○","X")</f>
        <v>○</v>
      </c>
      <c r="BC29" t="str">
        <f>IF(매핑v2!K25="○",Y29,"")</f>
        <v/>
      </c>
      <c r="BD29" t="str">
        <f>IF(매핑v2!K25="○","○","X")</f>
        <v>○</v>
      </c>
      <c r="BE29">
        <f>IF(매핑v2!K25="○",AH29,"")</f>
        <v>3333.3333333333335</v>
      </c>
      <c r="BF29" t="str">
        <f>IF(매핑v2!K25="○","○","X")</f>
        <v>○</v>
      </c>
      <c r="BG29">
        <f>IF(매핑v2!L25="○",P29,"")</f>
        <v>4166.666666666667</v>
      </c>
      <c r="BH29" t="str">
        <f>IF(매핑v2!L25="○","○","X")</f>
        <v>○</v>
      </c>
      <c r="BI29" t="str">
        <f>IF(매핑v2!L25="○",Y29,"")</f>
        <v/>
      </c>
      <c r="BJ29" t="s">
        <v>977</v>
      </c>
      <c r="BK29" t="s">
        <v>1102</v>
      </c>
      <c r="BL29" t="s">
        <v>977</v>
      </c>
      <c r="BM29" t="s">
        <v>977</v>
      </c>
      <c r="BN29" t="s">
        <v>977</v>
      </c>
      <c r="BO29" t="s">
        <v>1102</v>
      </c>
    </row>
    <row r="30" spans="1:67" x14ac:dyDescent="0.3">
      <c r="A30">
        <v>29</v>
      </c>
      <c r="B30" t="s">
        <v>187</v>
      </c>
      <c r="C30" t="s">
        <v>642</v>
      </c>
      <c r="D30" t="s">
        <v>123</v>
      </c>
      <c r="E30" t="s">
        <v>746</v>
      </c>
      <c r="F30" t="s">
        <v>510</v>
      </c>
      <c r="G30" t="s">
        <v>892</v>
      </c>
      <c r="H30">
        <v>5</v>
      </c>
      <c r="I30">
        <v>150000</v>
      </c>
      <c r="J30">
        <v>6</v>
      </c>
      <c r="N30">
        <v>30000</v>
      </c>
      <c r="O30">
        <v>2</v>
      </c>
      <c r="P30">
        <f t="shared" si="0"/>
        <v>3333.3333333333335</v>
      </c>
      <c r="Q30">
        <v>3</v>
      </c>
      <c r="R30">
        <v>200000</v>
      </c>
      <c r="S30">
        <v>1</v>
      </c>
      <c r="Y30" t="str">
        <f t="shared" si="1"/>
        <v/>
      </c>
      <c r="Z30">
        <v>5</v>
      </c>
      <c r="AA30">
        <v>150000</v>
      </c>
      <c r="AB30">
        <v>3</v>
      </c>
      <c r="AF30">
        <v>25000</v>
      </c>
      <c r="AG30">
        <v>1</v>
      </c>
      <c r="AH30">
        <f t="shared" si="2"/>
        <v>6250</v>
      </c>
      <c r="AI30">
        <f>IF(매핑v2!H26="○",P30,"")</f>
        <v>3333.3333333333335</v>
      </c>
      <c r="AJ30" t="str">
        <f>IF(매핑v2!H26="○","○","X")</f>
        <v>○</v>
      </c>
      <c r="AK30" t="str">
        <f>IF(매핑v2!H26="○",Y30,"")</f>
        <v/>
      </c>
      <c r="AL30" t="str">
        <f>IF(매핑v2!H26="○","○","X")</f>
        <v>○</v>
      </c>
      <c r="AM30">
        <f>IF(매핑v2!H26="○",AH30,"")</f>
        <v>6250</v>
      </c>
      <c r="AN30" t="str">
        <f>IF(매핑v2!H26="○","○","X")</f>
        <v>○</v>
      </c>
      <c r="AO30">
        <f>IF(매핑v2!I26="○",P30,"")</f>
        <v>3333.3333333333335</v>
      </c>
      <c r="AP30" t="str">
        <f>IF(매핑v2!I26="○","○","X")</f>
        <v>○</v>
      </c>
      <c r="AQ30" t="str">
        <f>IF(매핑v2!I26="○",Y30,"")</f>
        <v/>
      </c>
      <c r="AR30" t="str">
        <f>IF(매핑v2!I26="○","○","X")</f>
        <v>○</v>
      </c>
      <c r="AS30">
        <f>IF(매핑v2!I26="○",AH30,"")</f>
        <v>6250</v>
      </c>
      <c r="AT30" t="str">
        <f>IF(매핑v2!I26="○","○","X")</f>
        <v>○</v>
      </c>
      <c r="AU30">
        <f>IF(매핑v2!J26="○",P30,"")</f>
        <v>3333.3333333333335</v>
      </c>
      <c r="AV30" t="str">
        <f>IF(매핑v2!J26="○","○","X")</f>
        <v>○</v>
      </c>
      <c r="AW30" t="str">
        <f>IF(매핑v2!J26="○",Y30,"")</f>
        <v/>
      </c>
      <c r="AX30" t="str">
        <f>IF(매핑v2!J26="○","○","X")</f>
        <v>○</v>
      </c>
      <c r="AY30">
        <f>IF(매핑v2!J26="○",AH30,"")</f>
        <v>6250</v>
      </c>
      <c r="AZ30" t="str">
        <f>IF(매핑v2!J26="○","○","X")</f>
        <v>○</v>
      </c>
      <c r="BA30">
        <f>IF(매핑v2!K26="○",P30,"")</f>
        <v>3333.3333333333335</v>
      </c>
      <c r="BB30" t="str">
        <f>IF(매핑v2!K26="○","○","X")</f>
        <v>○</v>
      </c>
      <c r="BC30" t="str">
        <f>IF(매핑v2!K26="○",Y30,"")</f>
        <v/>
      </c>
      <c r="BD30" t="str">
        <f>IF(매핑v2!K26="○","○","X")</f>
        <v>○</v>
      </c>
      <c r="BE30">
        <f>IF(매핑v2!K26="○",AH30,"")</f>
        <v>6250</v>
      </c>
      <c r="BF30" t="str">
        <f>IF(매핑v2!K26="○","○","X")</f>
        <v>○</v>
      </c>
      <c r="BG30">
        <f>IF(매핑v2!L26="○",P30,"")</f>
        <v>3333.3333333333335</v>
      </c>
      <c r="BH30" t="str">
        <f>IF(매핑v2!L26="○","○","X")</f>
        <v>○</v>
      </c>
      <c r="BI30" t="str">
        <f>IF(매핑v2!L26="○",Y30,"")</f>
        <v/>
      </c>
      <c r="BJ30" t="s">
        <v>977</v>
      </c>
      <c r="BK30" t="s">
        <v>1102</v>
      </c>
      <c r="BL30" t="s">
        <v>977</v>
      </c>
      <c r="BM30" t="s">
        <v>977</v>
      </c>
      <c r="BN30" t="s">
        <v>1102</v>
      </c>
      <c r="BO30" t="s">
        <v>1102</v>
      </c>
    </row>
    <row r="31" spans="1:67" x14ac:dyDescent="0.3">
      <c r="A31">
        <v>30</v>
      </c>
      <c r="B31" t="s">
        <v>187</v>
      </c>
      <c r="C31" t="s">
        <v>1067</v>
      </c>
      <c r="D31" t="s">
        <v>123</v>
      </c>
      <c r="E31" t="s">
        <v>747</v>
      </c>
      <c r="F31" t="s">
        <v>295</v>
      </c>
      <c r="G31" t="s">
        <v>1068</v>
      </c>
      <c r="H31">
        <v>5</v>
      </c>
      <c r="I31">
        <v>500000</v>
      </c>
      <c r="J31">
        <v>10</v>
      </c>
      <c r="N31">
        <v>20000</v>
      </c>
      <c r="O31">
        <v>5</v>
      </c>
      <c r="P31">
        <f t="shared" si="0"/>
        <v>4500</v>
      </c>
      <c r="Q31">
        <v>5</v>
      </c>
      <c r="R31">
        <v>500000</v>
      </c>
      <c r="S31">
        <v>2</v>
      </c>
      <c r="Y31">
        <f t="shared" si="1"/>
        <v>20833.333333333332</v>
      </c>
      <c r="Z31">
        <v>1</v>
      </c>
      <c r="AA31">
        <v>100000</v>
      </c>
      <c r="AB31">
        <v>1</v>
      </c>
      <c r="AH31">
        <f t="shared" si="2"/>
        <v>8333.3333333333339</v>
      </c>
      <c r="AI31">
        <f>IF(매핑v2!H27="○",P31,"")</f>
        <v>4500</v>
      </c>
      <c r="AJ31" t="str">
        <f>IF(매핑v2!H27="○","○","X")</f>
        <v>○</v>
      </c>
      <c r="AK31">
        <f>IF(매핑v2!H27="○",Y31,"")</f>
        <v>20833.333333333332</v>
      </c>
      <c r="AL31" t="str">
        <f>IF(매핑v2!H27="○","○","X")</f>
        <v>○</v>
      </c>
      <c r="AM31">
        <f>IF(매핑v2!H27="○",AH31,"")</f>
        <v>8333.3333333333339</v>
      </c>
      <c r="AN31" t="str">
        <f>IF(매핑v2!H27="○","○","X")</f>
        <v>○</v>
      </c>
      <c r="AO31">
        <f>IF(매핑v2!I27="○",P31,"")</f>
        <v>4500</v>
      </c>
      <c r="AP31" t="str">
        <f>IF(매핑v2!I27="○","○","X")</f>
        <v>○</v>
      </c>
      <c r="AQ31">
        <f>IF(매핑v2!I27="○",Y31,"")</f>
        <v>20833.333333333332</v>
      </c>
      <c r="AR31" t="str">
        <f>IF(매핑v2!I27="○","○","X")</f>
        <v>○</v>
      </c>
      <c r="AS31">
        <f>IF(매핑v2!I27="○",AH31,"")</f>
        <v>8333.3333333333339</v>
      </c>
      <c r="AT31" t="str">
        <f>IF(매핑v2!I27="○","○","X")</f>
        <v>○</v>
      </c>
      <c r="AU31">
        <f>IF(매핑v2!J27="○",P31,"")</f>
        <v>4500</v>
      </c>
      <c r="AV31" t="str">
        <f>IF(매핑v2!J27="○","○","X")</f>
        <v>○</v>
      </c>
      <c r="AW31">
        <f>IF(매핑v2!J27="○",Y31,"")</f>
        <v>20833.333333333332</v>
      </c>
      <c r="AX31" t="str">
        <f>IF(매핑v2!J27="○","○","X")</f>
        <v>○</v>
      </c>
      <c r="AY31">
        <f>IF(매핑v2!J27="○",AH31,"")</f>
        <v>8333.3333333333339</v>
      </c>
      <c r="AZ31" t="str">
        <f>IF(매핑v2!J27="○","○","X")</f>
        <v>○</v>
      </c>
      <c r="BA31">
        <f>IF(매핑v2!K27="○",P31,"")</f>
        <v>4500</v>
      </c>
      <c r="BB31" t="str">
        <f>IF(매핑v2!K27="○","○","X")</f>
        <v>○</v>
      </c>
      <c r="BC31">
        <f>IF(매핑v2!K27="○",Y31,"")</f>
        <v>20833.333333333332</v>
      </c>
      <c r="BD31" t="str">
        <f>IF(매핑v2!K27="○","○","X")</f>
        <v>○</v>
      </c>
      <c r="BE31">
        <f>IF(매핑v2!K27="○",AH31,"")</f>
        <v>8333.3333333333339</v>
      </c>
      <c r="BF31" t="str">
        <f>IF(매핑v2!K27="○","○","X")</f>
        <v>○</v>
      </c>
      <c r="BG31">
        <f>IF(매핑v2!L27="○",P31,"")</f>
        <v>4500</v>
      </c>
      <c r="BH31" t="str">
        <f>IF(매핑v2!L27="○","○","X")</f>
        <v>○</v>
      </c>
      <c r="BI31">
        <f>IF(매핑v2!L27="○",Y31,"")</f>
        <v>20833.333333333332</v>
      </c>
      <c r="BJ31" t="s">
        <v>977</v>
      </c>
      <c r="BK31" t="s">
        <v>1102</v>
      </c>
      <c r="BL31" t="s">
        <v>977</v>
      </c>
      <c r="BM31" t="s">
        <v>977</v>
      </c>
      <c r="BN31" t="s">
        <v>1102</v>
      </c>
      <c r="BO31" t="s">
        <v>1102</v>
      </c>
    </row>
    <row r="32" spans="1:67" x14ac:dyDescent="0.3">
      <c r="A32">
        <v>31</v>
      </c>
      <c r="B32" t="s">
        <v>187</v>
      </c>
      <c r="C32" t="s">
        <v>645</v>
      </c>
      <c r="D32" t="s">
        <v>104</v>
      </c>
      <c r="E32" t="s">
        <v>647</v>
      </c>
      <c r="F32" t="s">
        <v>525</v>
      </c>
      <c r="G32" t="s">
        <v>526</v>
      </c>
      <c r="H32">
        <v>3</v>
      </c>
      <c r="N32">
        <v>100000</v>
      </c>
      <c r="O32">
        <v>3</v>
      </c>
      <c r="P32">
        <f t="shared" si="0"/>
        <v>2777.7777777777778</v>
      </c>
      <c r="Q32">
        <v>3</v>
      </c>
      <c r="W32">
        <v>20000</v>
      </c>
      <c r="X32">
        <v>1</v>
      </c>
      <c r="Y32">
        <f t="shared" si="1"/>
        <v>1666.6666666666667</v>
      </c>
      <c r="Z32">
        <v>3</v>
      </c>
      <c r="AF32">
        <v>20000</v>
      </c>
      <c r="AG32">
        <v>1</v>
      </c>
      <c r="AH32">
        <f t="shared" si="2"/>
        <v>1666.6666666666667</v>
      </c>
      <c r="AI32">
        <f>IF(매핑v2!H28="○",P32,"")</f>
        <v>2777.7777777777778</v>
      </c>
      <c r="AJ32" t="str">
        <f>IF(매핑v2!H28="○","○","X")</f>
        <v>○</v>
      </c>
      <c r="AK32">
        <f>IF(매핑v2!H28="○",Y32,"")</f>
        <v>1666.6666666666667</v>
      </c>
      <c r="AL32" t="str">
        <f>IF(매핑v2!H28="○","○","X")</f>
        <v>○</v>
      </c>
      <c r="AM32">
        <f>IF(매핑v2!H28="○",AH32,"")</f>
        <v>1666.6666666666667</v>
      </c>
      <c r="AN32" t="str">
        <f>IF(매핑v2!H28="○","○","X")</f>
        <v>○</v>
      </c>
      <c r="AO32">
        <f>IF(매핑v2!I28="○",P32,"")</f>
        <v>2777.7777777777778</v>
      </c>
      <c r="AP32" t="str">
        <f>IF(매핑v2!I28="○","○","X")</f>
        <v>○</v>
      </c>
      <c r="AQ32">
        <f>IF(매핑v2!I28="○",Y32,"")</f>
        <v>1666.6666666666667</v>
      </c>
      <c r="AR32" t="str">
        <f>IF(매핑v2!I28="○","○","X")</f>
        <v>○</v>
      </c>
      <c r="AS32">
        <f>IF(매핑v2!I28="○",AH32,"")</f>
        <v>1666.6666666666667</v>
      </c>
      <c r="AT32" t="str">
        <f>IF(매핑v2!I28="○","○","X")</f>
        <v>○</v>
      </c>
      <c r="AU32">
        <f>IF(매핑v2!J28="○",P32,"")</f>
        <v>2777.7777777777778</v>
      </c>
      <c r="AV32" t="str">
        <f>IF(매핑v2!J28="○","○","X")</f>
        <v>○</v>
      </c>
      <c r="AW32">
        <f>IF(매핑v2!J28="○",Y32,"")</f>
        <v>1666.6666666666667</v>
      </c>
      <c r="AX32" t="str">
        <f>IF(매핑v2!J28="○","○","X")</f>
        <v>○</v>
      </c>
      <c r="AY32">
        <f>IF(매핑v2!J28="○",AH32,"")</f>
        <v>1666.6666666666667</v>
      </c>
      <c r="AZ32" t="str">
        <f>IF(매핑v2!J28="○","○","X")</f>
        <v>○</v>
      </c>
      <c r="BA32">
        <f>IF(매핑v2!K28="○",P32,"")</f>
        <v>2777.7777777777778</v>
      </c>
      <c r="BB32" t="str">
        <f>IF(매핑v2!K28="○","○","X")</f>
        <v>○</v>
      </c>
      <c r="BC32">
        <f>IF(매핑v2!K28="○",Y32,"")</f>
        <v>1666.6666666666667</v>
      </c>
      <c r="BD32" t="str">
        <f>IF(매핑v2!K28="○","○","X")</f>
        <v>○</v>
      </c>
      <c r="BE32">
        <f>IF(매핑v2!K28="○",AH32,"")</f>
        <v>1666.6666666666667</v>
      </c>
      <c r="BF32" t="str">
        <f>IF(매핑v2!K28="○","○","X")</f>
        <v>○</v>
      </c>
      <c r="BG32">
        <f>IF(매핑v2!L28="○",P32,"")</f>
        <v>2777.7777777777778</v>
      </c>
      <c r="BH32" t="str">
        <f>IF(매핑v2!L28="○","○","X")</f>
        <v>○</v>
      </c>
      <c r="BI32">
        <f>IF(매핑v2!L28="○",Y32,"")</f>
        <v>1666.6666666666667</v>
      </c>
      <c r="BJ32" t="s">
        <v>977</v>
      </c>
      <c r="BK32" t="s">
        <v>1102</v>
      </c>
      <c r="BL32" t="s">
        <v>977</v>
      </c>
      <c r="BM32" t="s">
        <v>977</v>
      </c>
      <c r="BN32" t="s">
        <v>1102</v>
      </c>
      <c r="BO32" t="s">
        <v>1102</v>
      </c>
    </row>
    <row r="33" spans="1:67" x14ac:dyDescent="0.3">
      <c r="A33">
        <v>32</v>
      </c>
      <c r="B33" t="s">
        <v>187</v>
      </c>
      <c r="C33" t="s">
        <v>648</v>
      </c>
      <c r="D33" t="s">
        <v>63</v>
      </c>
      <c r="E33" t="s">
        <v>749</v>
      </c>
      <c r="F33" t="s">
        <v>910</v>
      </c>
      <c r="G33" t="s">
        <v>911</v>
      </c>
      <c r="H33">
        <v>5</v>
      </c>
      <c r="I33">
        <v>10000</v>
      </c>
      <c r="J33">
        <v>5</v>
      </c>
      <c r="N33">
        <v>100000</v>
      </c>
      <c r="O33">
        <v>5</v>
      </c>
      <c r="P33">
        <f t="shared" si="0"/>
        <v>1833.3333333333335</v>
      </c>
      <c r="Q33">
        <v>5</v>
      </c>
      <c r="R33">
        <v>50000</v>
      </c>
      <c r="S33">
        <v>2</v>
      </c>
      <c r="W33">
        <v>40000</v>
      </c>
      <c r="X33">
        <v>0.5</v>
      </c>
      <c r="Y33">
        <f t="shared" si="1"/>
        <v>8750</v>
      </c>
      <c r="Z33">
        <v>5</v>
      </c>
      <c r="AC33">
        <v>0.25</v>
      </c>
      <c r="AD33">
        <v>1</v>
      </c>
      <c r="AE33">
        <v>60000</v>
      </c>
      <c r="AF33">
        <v>1000</v>
      </c>
      <c r="AG33">
        <v>0.25</v>
      </c>
      <c r="AH33">
        <f t="shared" si="2"/>
        <v>333.33333333333331</v>
      </c>
      <c r="AI33">
        <f>IF(매핑v2!H29="○",P33,"")</f>
        <v>1833.3333333333335</v>
      </c>
      <c r="AJ33" t="str">
        <f>IF(매핑v2!H29="○","○","X")</f>
        <v>○</v>
      </c>
      <c r="AK33">
        <f>IF(매핑v2!H29="○",Y33,"")</f>
        <v>8750</v>
      </c>
      <c r="AL33" t="str">
        <f>IF(매핑v2!H29="○","○","X")</f>
        <v>○</v>
      </c>
      <c r="AM33">
        <f>IF(매핑v2!H29="○",AH33,"")</f>
        <v>333.33333333333331</v>
      </c>
      <c r="AN33" t="str">
        <f>IF(매핑v2!H29="○","○","X")</f>
        <v>○</v>
      </c>
      <c r="AO33" t="str">
        <f>IF(매핑v2!I29="○",P33,"")</f>
        <v/>
      </c>
      <c r="AP33" t="str">
        <f>IF(매핑v2!I29="○","○","X")</f>
        <v>X</v>
      </c>
      <c r="AQ33" t="str">
        <f>IF(매핑v2!I29="○",Y33,"")</f>
        <v/>
      </c>
      <c r="AR33" t="str">
        <f>IF(매핑v2!I29="○","○","X")</f>
        <v>X</v>
      </c>
      <c r="AS33" t="str">
        <f>IF(매핑v2!I29="○",AH33,"")</f>
        <v/>
      </c>
      <c r="AT33" t="str">
        <f>IF(매핑v2!I29="○","○","X")</f>
        <v>X</v>
      </c>
      <c r="AU33">
        <f>IF(매핑v2!J29="○",P33,"")</f>
        <v>1833.3333333333335</v>
      </c>
      <c r="AV33" t="str">
        <f>IF(매핑v2!J29="○","○","X")</f>
        <v>○</v>
      </c>
      <c r="AW33">
        <f>IF(매핑v2!J29="○",Y33,"")</f>
        <v>8750</v>
      </c>
      <c r="AX33" t="str">
        <f>IF(매핑v2!J29="○","○","X")</f>
        <v>○</v>
      </c>
      <c r="AY33">
        <f>IF(매핑v2!J29="○",AH33,"")</f>
        <v>333.33333333333331</v>
      </c>
      <c r="AZ33" t="str">
        <f>IF(매핑v2!J29="○","○","X")</f>
        <v>○</v>
      </c>
      <c r="BA33">
        <f>IF(매핑v2!K29="○",P33,"")</f>
        <v>1833.3333333333335</v>
      </c>
      <c r="BB33" t="str">
        <f>IF(매핑v2!K29="○","○","X")</f>
        <v>○</v>
      </c>
      <c r="BC33">
        <f>IF(매핑v2!K29="○",Y33,"")</f>
        <v>8750</v>
      </c>
      <c r="BD33" t="str">
        <f>IF(매핑v2!K29="○","○","X")</f>
        <v>○</v>
      </c>
      <c r="BE33">
        <f>IF(매핑v2!K29="○",AH33,"")</f>
        <v>333.33333333333331</v>
      </c>
      <c r="BF33" t="str">
        <f>IF(매핑v2!K29="○","○","X")</f>
        <v>○</v>
      </c>
      <c r="BG33">
        <f>IF(매핑v2!L29="○",P33,"")</f>
        <v>1833.3333333333335</v>
      </c>
      <c r="BH33" t="str">
        <f>IF(매핑v2!L29="○","○","X")</f>
        <v>○</v>
      </c>
      <c r="BI33">
        <f>IF(매핑v2!L29="○",Y33,"")</f>
        <v>8750</v>
      </c>
      <c r="BJ33" t="s">
        <v>977</v>
      </c>
      <c r="BK33" t="s">
        <v>1102</v>
      </c>
      <c r="BL33" t="s">
        <v>977</v>
      </c>
      <c r="BM33" t="s">
        <v>977</v>
      </c>
      <c r="BN33" t="s">
        <v>977</v>
      </c>
      <c r="BO33" t="s">
        <v>1102</v>
      </c>
    </row>
    <row r="34" spans="1:67" x14ac:dyDescent="0.3">
      <c r="A34">
        <v>33</v>
      </c>
      <c r="B34" t="s">
        <v>187</v>
      </c>
      <c r="C34" t="s">
        <v>649</v>
      </c>
      <c r="D34" t="s">
        <v>63</v>
      </c>
      <c r="E34" t="s">
        <v>795</v>
      </c>
      <c r="F34" t="s">
        <v>958</v>
      </c>
      <c r="G34" t="s">
        <v>912</v>
      </c>
      <c r="H34">
        <v>3</v>
      </c>
      <c r="N34">
        <f>5*10000</f>
        <v>50000</v>
      </c>
      <c r="O34">
        <v>1.5</v>
      </c>
      <c r="P34">
        <f t="shared" si="0"/>
        <v>2777.7777777777778</v>
      </c>
      <c r="Q34">
        <v>3</v>
      </c>
      <c r="W34">
        <v>120000</v>
      </c>
      <c r="X34">
        <v>0.5</v>
      </c>
      <c r="Y34">
        <f t="shared" si="1"/>
        <v>20000</v>
      </c>
      <c r="Z34">
        <v>3</v>
      </c>
      <c r="AF34">
        <v>30000</v>
      </c>
      <c r="AG34">
        <v>0.5</v>
      </c>
      <c r="AH34">
        <f t="shared" si="2"/>
        <v>5000</v>
      </c>
      <c r="AI34" t="str">
        <f>IF(매핑v2!H30="○",P34,"")</f>
        <v/>
      </c>
      <c r="AJ34" t="str">
        <f>IF(매핑v2!H30="○","○","X")</f>
        <v>X</v>
      </c>
      <c r="AK34" t="str">
        <f>IF(매핑v2!H30="○",Y34,"")</f>
        <v/>
      </c>
      <c r="AL34" t="str">
        <f>IF(매핑v2!H30="○","○","X")</f>
        <v>X</v>
      </c>
      <c r="AM34" t="str">
        <f>IF(매핑v2!H30="○",AH34,"")</f>
        <v/>
      </c>
      <c r="AN34" t="str">
        <f>IF(매핑v2!H30="○","○","X")</f>
        <v>X</v>
      </c>
      <c r="AO34">
        <f>IF(매핑v2!I30="○",P34,"")</f>
        <v>2777.7777777777778</v>
      </c>
      <c r="AP34" t="str">
        <f>IF(매핑v2!I30="○","○","X")</f>
        <v>○</v>
      </c>
      <c r="AQ34">
        <f>IF(매핑v2!I30="○",Y34,"")</f>
        <v>20000</v>
      </c>
      <c r="AR34" t="str">
        <f>IF(매핑v2!I30="○","○","X")</f>
        <v>○</v>
      </c>
      <c r="AS34">
        <f>IF(매핑v2!I30="○",AH34,"")</f>
        <v>5000</v>
      </c>
      <c r="AT34" t="str">
        <f>IF(매핑v2!I30="○","○","X")</f>
        <v>○</v>
      </c>
      <c r="AU34">
        <f>IF(매핑v2!J30="○",P34,"")</f>
        <v>2777.7777777777778</v>
      </c>
      <c r="AV34" t="str">
        <f>IF(매핑v2!J30="○","○","X")</f>
        <v>○</v>
      </c>
      <c r="AW34">
        <f>IF(매핑v2!J30="○",Y34,"")</f>
        <v>20000</v>
      </c>
      <c r="AX34" t="str">
        <f>IF(매핑v2!J30="○","○","X")</f>
        <v>○</v>
      </c>
      <c r="AY34">
        <f>IF(매핑v2!J30="○",AH34,"")</f>
        <v>5000</v>
      </c>
      <c r="AZ34" t="str">
        <f>IF(매핑v2!J30="○","○","X")</f>
        <v>○</v>
      </c>
      <c r="BA34">
        <f>IF(매핑v2!K30="○",P34,"")</f>
        <v>2777.7777777777778</v>
      </c>
      <c r="BB34" t="str">
        <f>IF(매핑v2!K30="○","○","X")</f>
        <v>○</v>
      </c>
      <c r="BC34">
        <f>IF(매핑v2!K30="○",Y34,"")</f>
        <v>20000</v>
      </c>
      <c r="BD34" t="str">
        <f>IF(매핑v2!K30="○","○","X")</f>
        <v>○</v>
      </c>
      <c r="BE34">
        <f>IF(매핑v2!K30="○",AH34,"")</f>
        <v>5000</v>
      </c>
      <c r="BF34" t="str">
        <f>IF(매핑v2!K30="○","○","X")</f>
        <v>○</v>
      </c>
      <c r="BG34" t="str">
        <f>IF(매핑v2!L30="○",P34,"")</f>
        <v/>
      </c>
      <c r="BH34" t="str">
        <f>IF(매핑v2!L30="○","○","X")</f>
        <v>X</v>
      </c>
      <c r="BI34" t="str">
        <f>IF(매핑v2!L30="○",Y34,"")</f>
        <v/>
      </c>
      <c r="BJ34" t="s">
        <v>977</v>
      </c>
      <c r="BK34" t="s">
        <v>1102</v>
      </c>
      <c r="BL34" t="s">
        <v>977</v>
      </c>
      <c r="BM34" t="s">
        <v>977</v>
      </c>
      <c r="BN34" t="s">
        <v>977</v>
      </c>
      <c r="BO34" t="s">
        <v>1102</v>
      </c>
    </row>
    <row r="35" spans="1:67" x14ac:dyDescent="0.3">
      <c r="A35">
        <v>34</v>
      </c>
      <c r="B35" t="s">
        <v>187</v>
      </c>
      <c r="C35" t="s">
        <v>650</v>
      </c>
      <c r="D35" t="s">
        <v>91</v>
      </c>
      <c r="E35" t="s">
        <v>752</v>
      </c>
      <c r="F35" t="s">
        <v>913</v>
      </c>
      <c r="G35" t="s">
        <v>914</v>
      </c>
      <c r="H35">
        <v>3</v>
      </c>
      <c r="N35">
        <v>40000</v>
      </c>
      <c r="O35">
        <v>1</v>
      </c>
      <c r="P35">
        <f t="shared" si="0"/>
        <v>3333.3333333333335</v>
      </c>
      <c r="Q35">
        <v>3</v>
      </c>
      <c r="W35">
        <v>40000</v>
      </c>
      <c r="X35">
        <v>0.25</v>
      </c>
      <c r="Y35">
        <f t="shared" si="1"/>
        <v>13333.333333333334</v>
      </c>
      <c r="Z35">
        <v>3</v>
      </c>
      <c r="AF35">
        <v>20000</v>
      </c>
      <c r="AG35">
        <v>0.25</v>
      </c>
      <c r="AH35">
        <f t="shared" si="2"/>
        <v>6666.666666666667</v>
      </c>
      <c r="AI35" t="str">
        <f>IF(매핑v2!H31="○",P35,"")</f>
        <v/>
      </c>
      <c r="AJ35" t="str">
        <f>IF(매핑v2!H31="○","○","X")</f>
        <v>X</v>
      </c>
      <c r="AK35" t="str">
        <f>IF(매핑v2!H31="○",Y35,"")</f>
        <v/>
      </c>
      <c r="AL35" t="str">
        <f>IF(매핑v2!H31="○","○","X")</f>
        <v>X</v>
      </c>
      <c r="AM35" t="str">
        <f>IF(매핑v2!H31="○",AH35,"")</f>
        <v/>
      </c>
      <c r="AN35" t="str">
        <f>IF(매핑v2!H31="○","○","X")</f>
        <v>X</v>
      </c>
      <c r="AO35">
        <f>IF(매핑v2!I31="○",P35,"")</f>
        <v>3333.3333333333335</v>
      </c>
      <c r="AP35" t="str">
        <f>IF(매핑v2!I31="○","○","X")</f>
        <v>○</v>
      </c>
      <c r="AQ35">
        <f>IF(매핑v2!I31="○",Y35,"")</f>
        <v>13333.333333333334</v>
      </c>
      <c r="AR35" t="str">
        <f>IF(매핑v2!I31="○","○","X")</f>
        <v>○</v>
      </c>
      <c r="AS35">
        <f>IF(매핑v2!I31="○",AH35,"")</f>
        <v>6666.666666666667</v>
      </c>
      <c r="AT35" t="str">
        <f>IF(매핑v2!I31="○","○","X")</f>
        <v>○</v>
      </c>
      <c r="AU35">
        <f>IF(매핑v2!J31="○",P35,"")</f>
        <v>3333.3333333333335</v>
      </c>
      <c r="AV35" t="str">
        <f>IF(매핑v2!J31="○","○","X")</f>
        <v>○</v>
      </c>
      <c r="AW35">
        <f>IF(매핑v2!J31="○",Y35,"")</f>
        <v>13333.333333333334</v>
      </c>
      <c r="AX35" t="str">
        <f>IF(매핑v2!J31="○","○","X")</f>
        <v>○</v>
      </c>
      <c r="AY35">
        <f>IF(매핑v2!J31="○",AH35,"")</f>
        <v>6666.666666666667</v>
      </c>
      <c r="AZ35" t="str">
        <f>IF(매핑v2!J31="○","○","X")</f>
        <v>○</v>
      </c>
      <c r="BA35">
        <f>IF(매핑v2!K31="○",P35,"")</f>
        <v>3333.3333333333335</v>
      </c>
      <c r="BB35" t="str">
        <f>IF(매핑v2!K31="○","○","X")</f>
        <v>○</v>
      </c>
      <c r="BC35">
        <f>IF(매핑v2!K31="○",Y35,"")</f>
        <v>13333.333333333334</v>
      </c>
      <c r="BD35" t="str">
        <f>IF(매핑v2!K31="○","○","X")</f>
        <v>○</v>
      </c>
      <c r="BE35">
        <f>IF(매핑v2!K31="○",AH35,"")</f>
        <v>6666.666666666667</v>
      </c>
      <c r="BF35" t="str">
        <f>IF(매핑v2!K31="○","○","X")</f>
        <v>○</v>
      </c>
      <c r="BG35" t="str">
        <f>IF(매핑v2!L31="○",P35,"")</f>
        <v/>
      </c>
      <c r="BH35" t="str">
        <f>IF(매핑v2!L31="○","○","X")</f>
        <v>X</v>
      </c>
      <c r="BI35" t="str">
        <f>IF(매핑v2!L31="○",Y35,"")</f>
        <v/>
      </c>
      <c r="BJ35" t="s">
        <v>977</v>
      </c>
      <c r="BK35" t="s">
        <v>1102</v>
      </c>
      <c r="BL35" t="s">
        <v>977</v>
      </c>
      <c r="BM35" t="s">
        <v>977</v>
      </c>
      <c r="BN35" t="s">
        <v>977</v>
      </c>
      <c r="BO35" t="s">
        <v>1102</v>
      </c>
    </row>
    <row r="36" spans="1:67" x14ac:dyDescent="0.3">
      <c r="A36">
        <v>35</v>
      </c>
      <c r="B36" t="s">
        <v>187</v>
      </c>
      <c r="C36" t="s">
        <v>651</v>
      </c>
      <c r="D36" t="s">
        <v>20</v>
      </c>
      <c r="E36" t="s">
        <v>1069</v>
      </c>
      <c r="F36" t="s">
        <v>915</v>
      </c>
      <c r="G36" t="s">
        <v>1070</v>
      </c>
      <c r="H36">
        <v>6</v>
      </c>
      <c r="K36">
        <v>0.5</v>
      </c>
      <c r="L36">
        <v>1</v>
      </c>
      <c r="M36">
        <v>40000</v>
      </c>
      <c r="N36">
        <v>10000</v>
      </c>
      <c r="O36">
        <v>1</v>
      </c>
      <c r="P36">
        <f t="shared" si="0"/>
        <v>20833.333333333332</v>
      </c>
      <c r="Q36">
        <v>6</v>
      </c>
      <c r="T36">
        <v>1</v>
      </c>
      <c r="U36">
        <v>1</v>
      </c>
      <c r="V36">
        <v>100000</v>
      </c>
      <c r="Y36">
        <f t="shared" si="1"/>
        <v>100000</v>
      </c>
      <c r="Z36">
        <v>3</v>
      </c>
      <c r="AF36">
        <v>10000</v>
      </c>
      <c r="AG36">
        <f>1/12</f>
        <v>8.3333333333333329E-2</v>
      </c>
      <c r="AH36">
        <f t="shared" si="2"/>
        <v>10000</v>
      </c>
      <c r="AI36" t="str">
        <f>IF(매핑v2!H32="○",P36,"")</f>
        <v/>
      </c>
      <c r="AJ36" t="str">
        <f>IF(매핑v2!H32="○","○","X")</f>
        <v>X</v>
      </c>
      <c r="AK36" t="str">
        <f>IF(매핑v2!H32="○",Y36,"")</f>
        <v/>
      </c>
      <c r="AL36" t="str">
        <f>IF(매핑v2!H32="○","○","X")</f>
        <v>X</v>
      </c>
      <c r="AM36" t="str">
        <f>IF(매핑v2!H32="○",AH36,"")</f>
        <v/>
      </c>
      <c r="AN36" t="str">
        <f>IF(매핑v2!H32="○","○","X")</f>
        <v>X</v>
      </c>
      <c r="AO36">
        <f>IF(매핑v2!I32="○",P36,"")</f>
        <v>20833.333333333332</v>
      </c>
      <c r="AP36" t="str">
        <f>IF(매핑v2!I32="○","○","X")</f>
        <v>○</v>
      </c>
      <c r="AQ36">
        <f>IF(매핑v2!I32="○",Y36,"")</f>
        <v>100000</v>
      </c>
      <c r="AR36" t="str">
        <f>IF(매핑v2!I32="○","○","X")</f>
        <v>○</v>
      </c>
      <c r="AS36">
        <f>IF(매핑v2!I32="○",AH36,"")</f>
        <v>10000</v>
      </c>
      <c r="AT36" t="str">
        <f>IF(매핑v2!I32="○","○","X")</f>
        <v>○</v>
      </c>
      <c r="AU36">
        <f>IF(매핑v2!J32="○",P36,"")</f>
        <v>20833.333333333332</v>
      </c>
      <c r="AV36" t="str">
        <f>IF(매핑v2!J32="○","○","X")</f>
        <v>○</v>
      </c>
      <c r="AW36">
        <f>IF(매핑v2!J32="○",Y36,"")</f>
        <v>100000</v>
      </c>
      <c r="AX36" t="str">
        <f>IF(매핑v2!J32="○","○","X")</f>
        <v>○</v>
      </c>
      <c r="AY36">
        <f>IF(매핑v2!J32="○",AH36,"")</f>
        <v>10000</v>
      </c>
      <c r="AZ36" t="str">
        <f>IF(매핑v2!J32="○","○","X")</f>
        <v>○</v>
      </c>
      <c r="BA36">
        <f>IF(매핑v2!K32="○",P36,"")</f>
        <v>20833.333333333332</v>
      </c>
      <c r="BB36" t="str">
        <f>IF(매핑v2!K32="○","○","X")</f>
        <v>○</v>
      </c>
      <c r="BC36">
        <f>IF(매핑v2!K32="○",Y36,"")</f>
        <v>100000</v>
      </c>
      <c r="BD36" t="str">
        <f>IF(매핑v2!K32="○","○","X")</f>
        <v>○</v>
      </c>
      <c r="BE36">
        <f>IF(매핑v2!K32="○",AH36,"")</f>
        <v>10000</v>
      </c>
      <c r="BF36" t="str">
        <f>IF(매핑v2!K32="○","○","X")</f>
        <v>○</v>
      </c>
      <c r="BG36" t="str">
        <f>IF(매핑v2!L32="○",P36,"")</f>
        <v/>
      </c>
      <c r="BH36" t="str">
        <f>IF(매핑v2!L32="○","○","X")</f>
        <v>X</v>
      </c>
      <c r="BI36" t="str">
        <f>IF(매핑v2!L32="○",Y36,"")</f>
        <v/>
      </c>
      <c r="BJ36" t="s">
        <v>977</v>
      </c>
      <c r="BK36" t="s">
        <v>1102</v>
      </c>
      <c r="BL36" t="s">
        <v>977</v>
      </c>
      <c r="BM36" t="s">
        <v>977</v>
      </c>
      <c r="BN36" t="s">
        <v>977</v>
      </c>
      <c r="BO36" t="s">
        <v>1102</v>
      </c>
    </row>
    <row r="37" spans="1:67" x14ac:dyDescent="0.3">
      <c r="A37" s="36">
        <v>36</v>
      </c>
      <c r="B37" t="s">
        <v>652</v>
      </c>
      <c r="C37" t="s">
        <v>755</v>
      </c>
      <c r="D37" t="s">
        <v>20</v>
      </c>
      <c r="E37" t="s">
        <v>796</v>
      </c>
      <c r="F37" t="s">
        <v>916</v>
      </c>
      <c r="G37" t="s">
        <v>917</v>
      </c>
      <c r="H37">
        <v>2</v>
      </c>
      <c r="K37">
        <v>1</v>
      </c>
      <c r="L37">
        <v>1</v>
      </c>
      <c r="M37">
        <v>5000</v>
      </c>
      <c r="P37">
        <f t="shared" si="0"/>
        <v>5000</v>
      </c>
      <c r="Q37">
        <v>3</v>
      </c>
      <c r="W37">
        <v>600000</v>
      </c>
      <c r="X37">
        <v>1</v>
      </c>
      <c r="Y37">
        <f t="shared" si="1"/>
        <v>50000</v>
      </c>
      <c r="Z37">
        <v>3</v>
      </c>
      <c r="AF37">
        <v>300000</v>
      </c>
      <c r="AG37">
        <v>1</v>
      </c>
      <c r="AH37">
        <f t="shared" si="2"/>
        <v>25000</v>
      </c>
      <c r="AI37">
        <f>IF(매핑v2!H33="○",P37,"")</f>
        <v>5000</v>
      </c>
      <c r="AJ37" t="str">
        <f>IF(매핑v2!H33="○","○","X")</f>
        <v>○</v>
      </c>
      <c r="AK37">
        <f>IF(매핑v2!H33="○",Y37,"")</f>
        <v>50000</v>
      </c>
      <c r="AL37" t="str">
        <f>IF(매핑v2!H33="○","○","X")</f>
        <v>○</v>
      </c>
      <c r="AM37">
        <f>IF(매핑v2!H33="○",AH37,"")</f>
        <v>25000</v>
      </c>
      <c r="AN37" t="str">
        <f>IF(매핑v2!H33="○","○","X")</f>
        <v>○</v>
      </c>
      <c r="AO37">
        <f>IF(매핑v2!I33="○",P37,"")</f>
        <v>5000</v>
      </c>
      <c r="AP37" t="str">
        <f>IF(매핑v2!I33="○","○","X")</f>
        <v>○</v>
      </c>
      <c r="AQ37">
        <f>IF(매핑v2!I33="○",Y37,"")</f>
        <v>50000</v>
      </c>
      <c r="AR37" t="str">
        <f>IF(매핑v2!I33="○","○","X")</f>
        <v>○</v>
      </c>
      <c r="AS37">
        <f>IF(매핑v2!I33="○",AH37,"")</f>
        <v>25000</v>
      </c>
      <c r="AT37" t="str">
        <f>IF(매핑v2!I33="○","○","X")</f>
        <v>○</v>
      </c>
      <c r="AU37">
        <f>IF(매핑v2!J33="○",P37,"")</f>
        <v>5000</v>
      </c>
      <c r="AV37" t="str">
        <f>IF(매핑v2!J33="○","○","X")</f>
        <v>○</v>
      </c>
      <c r="AW37">
        <f>IF(매핑v2!J33="○",Y37,"")</f>
        <v>50000</v>
      </c>
      <c r="AX37" t="str">
        <f>IF(매핑v2!J33="○","○","X")</f>
        <v>○</v>
      </c>
      <c r="AY37">
        <f>IF(매핑v2!J33="○",AH37,"")</f>
        <v>25000</v>
      </c>
      <c r="AZ37" t="str">
        <f>IF(매핑v2!J33="○","○","X")</f>
        <v>○</v>
      </c>
      <c r="BA37">
        <f>IF(매핑v2!K33="○",P37,"")</f>
        <v>5000</v>
      </c>
      <c r="BB37" t="str">
        <f>IF(매핑v2!K33="○","○","X")</f>
        <v>○</v>
      </c>
      <c r="BC37">
        <f>IF(매핑v2!K33="○",Y37,"")</f>
        <v>50000</v>
      </c>
      <c r="BD37" t="str">
        <f>IF(매핑v2!K33="○","○","X")</f>
        <v>○</v>
      </c>
      <c r="BE37">
        <f>IF(매핑v2!K33="○",AH37,"")</f>
        <v>25000</v>
      </c>
      <c r="BF37" t="str">
        <f>IF(매핑v2!K33="○","○","X")</f>
        <v>○</v>
      </c>
      <c r="BG37">
        <f>IF(매핑v2!L33="○",P37,"")</f>
        <v>5000</v>
      </c>
      <c r="BH37" t="str">
        <f>IF(매핑v2!L33="○","○","X")</f>
        <v>○</v>
      </c>
      <c r="BI37">
        <f>IF(매핑v2!L33="○",Y37,"")</f>
        <v>50000</v>
      </c>
      <c r="BJ37" t="s">
        <v>977</v>
      </c>
      <c r="BK37" t="s">
        <v>1102</v>
      </c>
      <c r="BL37" t="s">
        <v>1102</v>
      </c>
      <c r="BM37" t="s">
        <v>977</v>
      </c>
      <c r="BN37" t="s">
        <v>977</v>
      </c>
      <c r="BO37" t="s">
        <v>1102</v>
      </c>
    </row>
    <row r="38" spans="1:67" x14ac:dyDescent="0.3">
      <c r="A38">
        <v>37</v>
      </c>
      <c r="B38" t="s">
        <v>652</v>
      </c>
      <c r="C38" t="s">
        <v>653</v>
      </c>
      <c r="D38" t="s">
        <v>63</v>
      </c>
      <c r="E38" t="s">
        <v>1071</v>
      </c>
      <c r="F38" t="s">
        <v>918</v>
      </c>
      <c r="G38" t="s">
        <v>919</v>
      </c>
      <c r="H38">
        <v>1</v>
      </c>
      <c r="I38">
        <v>600000</v>
      </c>
      <c r="J38">
        <v>5</v>
      </c>
      <c r="P38">
        <f t="shared" ref="P38:P67" si="6">IF($H38=1,IF(AND(I38&lt;&gt;"",J38&lt;&gt;""),I38/J38/12,""),IF($H38=2,IF(AND(K38&lt;&gt;"",L38&lt;&gt;"",M38&lt;&gt;""),K38*L38*M38,""),IF($H38=3,IF(AND(N38&lt;&gt;"",O38&lt;&gt;""),N38/O38/12,""),IF($H38=4,IF(AND(I38&lt;&gt;"",J38&lt;&gt;""),I38/J38/12,0)+IF(AND(K38&lt;&gt;"",L38&lt;&gt;"",M38&lt;&gt;""),K38*L38*M38,0),IF($H38=5,IF(AND(I38&lt;&gt;"",J38&lt;&gt;""),I38/J38/12,0)+IF(AND(N38&lt;&gt;"",O38&lt;&gt;""),N38/O38/12,0),IF($H38=6,IF(AND(K38&lt;&gt;"",L38&lt;&gt;"",M38&lt;&gt;""),K38*L38*M38,0)+IF(AND(N38&lt;&gt;"",O38&lt;&gt;""),N38/O38/12,0),""))))))</f>
        <v>10000</v>
      </c>
      <c r="Q38">
        <v>1</v>
      </c>
      <c r="R38">
        <v>250000</v>
      </c>
      <c r="S38">
        <v>1</v>
      </c>
      <c r="Y38">
        <f t="shared" si="1"/>
        <v>20833.333333333332</v>
      </c>
      <c r="Z38">
        <v>1</v>
      </c>
      <c r="AA38">
        <v>60000</v>
      </c>
      <c r="AB38">
        <v>1</v>
      </c>
      <c r="AH38">
        <f t="shared" si="2"/>
        <v>5000</v>
      </c>
      <c r="AI38">
        <f>IF(매핑v2!H34="○",P38,"")</f>
        <v>10000</v>
      </c>
      <c r="AJ38" t="str">
        <f>IF(매핑v2!H34="○","○","X")</f>
        <v>○</v>
      </c>
      <c r="AK38">
        <f>IF(매핑v2!H34="○",Y38,"")</f>
        <v>20833.333333333332</v>
      </c>
      <c r="AL38" t="str">
        <f>IF(매핑v2!H34="○","○","X")</f>
        <v>○</v>
      </c>
      <c r="AM38">
        <f>IF(매핑v2!H34="○",AH38,"")</f>
        <v>5000</v>
      </c>
      <c r="AN38" t="str">
        <f>IF(매핑v2!H34="○","○","X")</f>
        <v>○</v>
      </c>
      <c r="AO38">
        <f>IF(매핑v2!I34="○",P38,"")</f>
        <v>10000</v>
      </c>
      <c r="AP38" t="str">
        <f>IF(매핑v2!I34="○","○","X")</f>
        <v>○</v>
      </c>
      <c r="AQ38">
        <f>IF(매핑v2!I34="○",Y38,"")</f>
        <v>20833.333333333332</v>
      </c>
      <c r="AR38" t="str">
        <f>IF(매핑v2!I34="○","○","X")</f>
        <v>○</v>
      </c>
      <c r="AS38">
        <f>IF(매핑v2!I34="○",AH38,"")</f>
        <v>5000</v>
      </c>
      <c r="AT38" t="str">
        <f>IF(매핑v2!I34="○","○","X")</f>
        <v>○</v>
      </c>
      <c r="AU38">
        <f>IF(매핑v2!J34="○",P38,"")</f>
        <v>10000</v>
      </c>
      <c r="AV38" t="str">
        <f>IF(매핑v2!J34="○","○","X")</f>
        <v>○</v>
      </c>
      <c r="AW38">
        <f>IF(매핑v2!J34="○",Y38,"")</f>
        <v>20833.333333333332</v>
      </c>
      <c r="AX38" t="str">
        <f>IF(매핑v2!J34="○","○","X")</f>
        <v>○</v>
      </c>
      <c r="AY38">
        <f>IF(매핑v2!J34="○",AH38,"")</f>
        <v>5000</v>
      </c>
      <c r="AZ38" t="str">
        <f>IF(매핑v2!J34="○","○","X")</f>
        <v>○</v>
      </c>
      <c r="BA38">
        <f>IF(매핑v2!K34="○",P38,"")</f>
        <v>10000</v>
      </c>
      <c r="BB38" t="str">
        <f>IF(매핑v2!K34="○","○","X")</f>
        <v>○</v>
      </c>
      <c r="BC38">
        <f>IF(매핑v2!K34="○",Y38,"")</f>
        <v>20833.333333333332</v>
      </c>
      <c r="BD38" t="str">
        <f>IF(매핑v2!K34="○","○","X")</f>
        <v>○</v>
      </c>
      <c r="BE38">
        <f>IF(매핑v2!K34="○",AH38,"")</f>
        <v>5000</v>
      </c>
      <c r="BF38" t="str">
        <f>IF(매핑v2!K34="○","○","X")</f>
        <v>○</v>
      </c>
      <c r="BG38">
        <f>IF(매핑v2!L34="○",P38,"")</f>
        <v>10000</v>
      </c>
      <c r="BH38" t="str">
        <f>IF(매핑v2!L34="○","○","X")</f>
        <v>○</v>
      </c>
      <c r="BI38">
        <f>IF(매핑v2!L34="○",Y38,"")</f>
        <v>20833.333333333332</v>
      </c>
      <c r="BJ38" t="s">
        <v>977</v>
      </c>
      <c r="BK38" t="s">
        <v>1102</v>
      </c>
      <c r="BL38" t="s">
        <v>977</v>
      </c>
      <c r="BM38" t="s">
        <v>977</v>
      </c>
      <c r="BN38" t="s">
        <v>977</v>
      </c>
      <c r="BO38" t="s">
        <v>1102</v>
      </c>
    </row>
    <row r="39" spans="1:67" x14ac:dyDescent="0.3">
      <c r="A39">
        <v>38</v>
      </c>
      <c r="B39" t="s">
        <v>184</v>
      </c>
      <c r="C39" t="s">
        <v>654</v>
      </c>
      <c r="D39" t="s">
        <v>36</v>
      </c>
      <c r="E39" t="s">
        <v>827</v>
      </c>
      <c r="F39" t="s">
        <v>443</v>
      </c>
      <c r="G39" t="s">
        <v>444</v>
      </c>
      <c r="H39">
        <v>6</v>
      </c>
      <c r="K39">
        <v>1</v>
      </c>
      <c r="L39">
        <v>1</v>
      </c>
      <c r="M39">
        <v>40000</v>
      </c>
      <c r="N39">
        <v>20000</v>
      </c>
      <c r="O39">
        <v>0.25</v>
      </c>
      <c r="P39">
        <f t="shared" si="6"/>
        <v>46666.666666666664</v>
      </c>
      <c r="Q39">
        <v>2</v>
      </c>
      <c r="T39">
        <v>20</v>
      </c>
      <c r="U39">
        <v>1</v>
      </c>
      <c r="V39">
        <v>5000</v>
      </c>
      <c r="Y39">
        <f t="shared" si="1"/>
        <v>100000</v>
      </c>
      <c r="Z39">
        <v>2</v>
      </c>
      <c r="AC39">
        <v>20</v>
      </c>
      <c r="AD39">
        <v>1</v>
      </c>
      <c r="AE39">
        <v>1800</v>
      </c>
      <c r="AH39">
        <f t="shared" si="2"/>
        <v>36000</v>
      </c>
      <c r="AI39">
        <f>IF(매핑v2!H35="○",P39,"")</f>
        <v>46666.666666666664</v>
      </c>
      <c r="AJ39" t="str">
        <f>IF(매핑v2!H35="○","○","X")</f>
        <v>○</v>
      </c>
      <c r="AK39">
        <f>IF(매핑v2!H35="○",Y39,"")</f>
        <v>100000</v>
      </c>
      <c r="AL39" t="str">
        <f>IF(매핑v2!H35="○","○","X")</f>
        <v>○</v>
      </c>
      <c r="AM39">
        <f>IF(매핑v2!H35="○",AH39,"")</f>
        <v>36000</v>
      </c>
      <c r="AN39" t="str">
        <f>IF(매핑v2!H35="○","○","X")</f>
        <v>○</v>
      </c>
      <c r="AO39">
        <f>IF(매핑v2!I35="○",P39,"")</f>
        <v>46666.666666666664</v>
      </c>
      <c r="AP39" t="str">
        <f>IF(매핑v2!I35="○","○","X")</f>
        <v>○</v>
      </c>
      <c r="AQ39">
        <f>IF(매핑v2!I35="○",Y39,"")</f>
        <v>100000</v>
      </c>
      <c r="AR39" t="str">
        <f>IF(매핑v2!I35="○","○","X")</f>
        <v>○</v>
      </c>
      <c r="AS39">
        <f>IF(매핑v2!I35="○",AH39,"")</f>
        <v>36000</v>
      </c>
      <c r="AT39" t="str">
        <f>IF(매핑v2!I35="○","○","X")</f>
        <v>○</v>
      </c>
      <c r="AU39">
        <f>IF(매핑v2!J35="○",P39,"")</f>
        <v>46666.666666666664</v>
      </c>
      <c r="AV39" t="str">
        <f>IF(매핑v2!J35="○","○","X")</f>
        <v>○</v>
      </c>
      <c r="AW39">
        <f>IF(매핑v2!J35="○",Y39,"")</f>
        <v>100000</v>
      </c>
      <c r="AX39" t="str">
        <f>IF(매핑v2!J35="○","○","X")</f>
        <v>○</v>
      </c>
      <c r="AY39">
        <f>IF(매핑v2!J35="○",AH39,"")</f>
        <v>36000</v>
      </c>
      <c r="AZ39" t="str">
        <f>IF(매핑v2!J35="○","○","X")</f>
        <v>○</v>
      </c>
      <c r="BA39">
        <f>IF(매핑v2!K35="○",P39,"")</f>
        <v>46666.666666666664</v>
      </c>
      <c r="BB39" t="str">
        <f>IF(매핑v2!K35="○","○","X")</f>
        <v>○</v>
      </c>
      <c r="BC39">
        <f>IF(매핑v2!K35="○",Y39,"")</f>
        <v>100000</v>
      </c>
      <c r="BD39" t="str">
        <f>IF(매핑v2!K35="○","○","X")</f>
        <v>○</v>
      </c>
      <c r="BE39">
        <f>IF(매핑v2!K35="○",AH39,"")</f>
        <v>36000</v>
      </c>
      <c r="BF39" t="str">
        <f>IF(매핑v2!K35="○","○","X")</f>
        <v>○</v>
      </c>
      <c r="BG39">
        <f>IF(매핑v2!L35="○",P39,"")</f>
        <v>46666.666666666664</v>
      </c>
      <c r="BH39" t="str">
        <f>IF(매핑v2!L35="○","○","X")</f>
        <v>○</v>
      </c>
      <c r="BI39">
        <f>IF(매핑v2!L35="○",Y39,"")</f>
        <v>100000</v>
      </c>
      <c r="BJ39" t="s">
        <v>977</v>
      </c>
      <c r="BK39" t="s">
        <v>1102</v>
      </c>
      <c r="BL39" t="s">
        <v>977</v>
      </c>
      <c r="BM39" t="s">
        <v>977</v>
      </c>
      <c r="BN39" t="s">
        <v>1102</v>
      </c>
      <c r="BO39" t="s">
        <v>1102</v>
      </c>
    </row>
    <row r="40" spans="1:67" x14ac:dyDescent="0.3">
      <c r="A40">
        <v>39</v>
      </c>
      <c r="B40" t="s">
        <v>184</v>
      </c>
      <c r="C40" t="s">
        <v>655</v>
      </c>
      <c r="D40" t="s">
        <v>81</v>
      </c>
      <c r="E40" t="s">
        <v>828</v>
      </c>
      <c r="F40" t="s">
        <v>519</v>
      </c>
      <c r="G40" t="s">
        <v>520</v>
      </c>
      <c r="H40">
        <v>3</v>
      </c>
      <c r="N40">
        <v>5000</v>
      </c>
      <c r="O40">
        <v>0.5</v>
      </c>
      <c r="P40">
        <f t="shared" si="6"/>
        <v>833.33333333333337</v>
      </c>
      <c r="Q40">
        <v>2</v>
      </c>
      <c r="T40">
        <v>4</v>
      </c>
      <c r="U40">
        <v>1</v>
      </c>
      <c r="V40">
        <v>30000</v>
      </c>
      <c r="Y40">
        <f t="shared" si="1"/>
        <v>120000</v>
      </c>
      <c r="Z40">
        <v>2</v>
      </c>
      <c r="AC40">
        <v>1</v>
      </c>
      <c r="AD40">
        <v>1</v>
      </c>
      <c r="AE40">
        <v>2500</v>
      </c>
      <c r="AH40">
        <f t="shared" si="2"/>
        <v>2500</v>
      </c>
      <c r="AI40">
        <f>IF(매핑v2!H36="○",P40,"")</f>
        <v>833.33333333333337</v>
      </c>
      <c r="AJ40" t="str">
        <f>IF(매핑v2!H36="○","○","X")</f>
        <v>○</v>
      </c>
      <c r="AK40">
        <f>IF(매핑v2!H36="○",Y40,"")</f>
        <v>120000</v>
      </c>
      <c r="AL40" t="str">
        <f>IF(매핑v2!H36="○","○","X")</f>
        <v>○</v>
      </c>
      <c r="AM40">
        <f>IF(매핑v2!H36="○",AH40,"")</f>
        <v>2500</v>
      </c>
      <c r="AN40" t="str">
        <f>IF(매핑v2!H36="○","○","X")</f>
        <v>○</v>
      </c>
      <c r="AO40">
        <f>IF(매핑v2!I36="○",P40,"")</f>
        <v>833.33333333333337</v>
      </c>
      <c r="AP40" t="str">
        <f>IF(매핑v2!I36="○","○","X")</f>
        <v>○</v>
      </c>
      <c r="AQ40">
        <f>IF(매핑v2!I36="○",Y40,"")</f>
        <v>120000</v>
      </c>
      <c r="AR40" t="str">
        <f>IF(매핑v2!I36="○","○","X")</f>
        <v>○</v>
      </c>
      <c r="AS40">
        <f>IF(매핑v2!I36="○",AH40,"")</f>
        <v>2500</v>
      </c>
      <c r="AT40" t="str">
        <f>IF(매핑v2!I36="○","○","X")</f>
        <v>○</v>
      </c>
      <c r="AU40">
        <f>IF(매핑v2!J36="○",P40,"")</f>
        <v>833.33333333333337</v>
      </c>
      <c r="AV40" t="str">
        <f>IF(매핑v2!J36="○","○","X")</f>
        <v>○</v>
      </c>
      <c r="AW40">
        <f>IF(매핑v2!J36="○",Y40,"")</f>
        <v>120000</v>
      </c>
      <c r="AX40" t="str">
        <f>IF(매핑v2!J36="○","○","X")</f>
        <v>○</v>
      </c>
      <c r="AY40">
        <f>IF(매핑v2!J36="○",AH40,"")</f>
        <v>2500</v>
      </c>
      <c r="AZ40" t="str">
        <f>IF(매핑v2!J36="○","○","X")</f>
        <v>○</v>
      </c>
      <c r="BA40">
        <f>IF(매핑v2!K36="○",P40,"")</f>
        <v>833.33333333333337</v>
      </c>
      <c r="BB40" t="str">
        <f>IF(매핑v2!K36="○","○","X")</f>
        <v>○</v>
      </c>
      <c r="BC40">
        <f>IF(매핑v2!K36="○",Y40,"")</f>
        <v>120000</v>
      </c>
      <c r="BD40" t="str">
        <f>IF(매핑v2!K36="○","○","X")</f>
        <v>○</v>
      </c>
      <c r="BE40">
        <f>IF(매핑v2!K36="○",AH40,"")</f>
        <v>2500</v>
      </c>
      <c r="BF40" t="str">
        <f>IF(매핑v2!K36="○","○","X")</f>
        <v>○</v>
      </c>
      <c r="BG40">
        <f>IF(매핑v2!L36="○",P40,"")</f>
        <v>833.33333333333337</v>
      </c>
      <c r="BH40" t="str">
        <f>IF(매핑v2!L36="○","○","X")</f>
        <v>○</v>
      </c>
      <c r="BI40">
        <f>IF(매핑v2!L36="○",Y40,"")</f>
        <v>120000</v>
      </c>
      <c r="BJ40" t="s">
        <v>977</v>
      </c>
      <c r="BK40" t="s">
        <v>1102</v>
      </c>
      <c r="BL40" t="s">
        <v>977</v>
      </c>
      <c r="BM40" t="s">
        <v>977</v>
      </c>
      <c r="BN40" t="s">
        <v>1102</v>
      </c>
      <c r="BO40" t="s">
        <v>1102</v>
      </c>
    </row>
    <row r="41" spans="1:67" x14ac:dyDescent="0.3">
      <c r="A41">
        <v>40</v>
      </c>
      <c r="B41" t="s">
        <v>184</v>
      </c>
      <c r="C41" t="s">
        <v>656</v>
      </c>
      <c r="D41" t="s">
        <v>81</v>
      </c>
      <c r="E41" t="s">
        <v>829</v>
      </c>
      <c r="F41" t="s">
        <v>522</v>
      </c>
      <c r="G41" t="s">
        <v>523</v>
      </c>
      <c r="H41">
        <v>2</v>
      </c>
      <c r="K41">
        <v>1</v>
      </c>
      <c r="L41">
        <v>0.5</v>
      </c>
      <c r="M41">
        <v>70000</v>
      </c>
      <c r="P41">
        <f t="shared" si="6"/>
        <v>35000</v>
      </c>
      <c r="Q41">
        <v>2</v>
      </c>
      <c r="T41">
        <v>4</v>
      </c>
      <c r="U41">
        <v>1</v>
      </c>
      <c r="V41">
        <v>12000</v>
      </c>
      <c r="Y41">
        <f t="shared" si="1"/>
        <v>48000</v>
      </c>
      <c r="Z41">
        <v>2</v>
      </c>
      <c r="AC41">
        <v>8</v>
      </c>
      <c r="AD41">
        <v>1</v>
      </c>
      <c r="AE41">
        <v>8000</v>
      </c>
      <c r="AH41">
        <f t="shared" si="2"/>
        <v>64000</v>
      </c>
      <c r="AI41">
        <f>IF(매핑v2!H37="○",P41,"")</f>
        <v>35000</v>
      </c>
      <c r="AJ41" t="str">
        <f>IF(매핑v2!H37="○","○","X")</f>
        <v>○</v>
      </c>
      <c r="AK41">
        <f>IF(매핑v2!H37="○",Y41,"")</f>
        <v>48000</v>
      </c>
      <c r="AL41" t="str">
        <f>IF(매핑v2!H37="○","○","X")</f>
        <v>○</v>
      </c>
      <c r="AM41">
        <f>IF(매핑v2!H37="○",AH41,"")</f>
        <v>64000</v>
      </c>
      <c r="AN41" t="str">
        <f>IF(매핑v2!H37="○","○","X")</f>
        <v>○</v>
      </c>
      <c r="AO41" t="str">
        <f>IF(매핑v2!I37="○",P41,"")</f>
        <v/>
      </c>
      <c r="AP41" t="str">
        <f>IF(매핑v2!I37="○","○","X")</f>
        <v>X</v>
      </c>
      <c r="AQ41" t="str">
        <f>IF(매핑v2!I37="○",Y41,"")</f>
        <v/>
      </c>
      <c r="AR41" t="str">
        <f>IF(매핑v2!I37="○","○","X")</f>
        <v>X</v>
      </c>
      <c r="AS41" t="str">
        <f>IF(매핑v2!I37="○",AH41,"")</f>
        <v/>
      </c>
      <c r="AT41" t="str">
        <f>IF(매핑v2!I37="○","○","X")</f>
        <v>X</v>
      </c>
      <c r="AU41" t="str">
        <f>IF(매핑v2!J37="○",P41,"")</f>
        <v/>
      </c>
      <c r="AV41" t="str">
        <f>IF(매핑v2!J37="○","○","X")</f>
        <v>X</v>
      </c>
      <c r="AW41" t="str">
        <f>IF(매핑v2!J37="○",Y41,"")</f>
        <v/>
      </c>
      <c r="AX41" t="str">
        <f>IF(매핑v2!J37="○","○","X")</f>
        <v>X</v>
      </c>
      <c r="AY41" t="str">
        <f>IF(매핑v2!J37="○",AH41,"")</f>
        <v/>
      </c>
      <c r="AZ41" t="str">
        <f>IF(매핑v2!J37="○","○","X")</f>
        <v>X</v>
      </c>
      <c r="BA41" t="str">
        <f>IF(매핑v2!K37="○",P41,"")</f>
        <v/>
      </c>
      <c r="BB41" t="str">
        <f>IF(매핑v2!K37="○","○","X")</f>
        <v>X</v>
      </c>
      <c r="BC41" t="str">
        <f>IF(매핑v2!K37="○",Y41,"")</f>
        <v/>
      </c>
      <c r="BD41" t="str">
        <f>IF(매핑v2!K37="○","○","X")</f>
        <v>X</v>
      </c>
      <c r="BE41" t="str">
        <f>IF(매핑v2!K37="○",AH41,"")</f>
        <v/>
      </c>
      <c r="BF41" t="str">
        <f>IF(매핑v2!K37="○","○","X")</f>
        <v>X</v>
      </c>
      <c r="BG41" t="str">
        <f>IF(매핑v2!L37="○",P41,"")</f>
        <v/>
      </c>
      <c r="BH41" t="str">
        <f>IF(매핑v2!L37="○","○","X")</f>
        <v>X</v>
      </c>
      <c r="BI41" t="str">
        <f>IF(매핑v2!L37="○",Y41,"")</f>
        <v/>
      </c>
      <c r="BJ41" t="s">
        <v>977</v>
      </c>
      <c r="BK41" t="s">
        <v>1102</v>
      </c>
      <c r="BL41" t="s">
        <v>977</v>
      </c>
      <c r="BM41" t="s">
        <v>977</v>
      </c>
      <c r="BN41" t="s">
        <v>1102</v>
      </c>
      <c r="BO41" t="s">
        <v>1102</v>
      </c>
    </row>
    <row r="42" spans="1:67" x14ac:dyDescent="0.3">
      <c r="A42">
        <v>41</v>
      </c>
      <c r="B42" t="s">
        <v>184</v>
      </c>
      <c r="C42" t="s">
        <v>658</v>
      </c>
      <c r="D42" t="s">
        <v>91</v>
      </c>
      <c r="E42" t="s">
        <v>1072</v>
      </c>
      <c r="F42" t="s">
        <v>301</v>
      </c>
      <c r="G42" t="s">
        <v>893</v>
      </c>
      <c r="H42">
        <v>2</v>
      </c>
      <c r="K42">
        <v>1</v>
      </c>
      <c r="L42">
        <v>1</v>
      </c>
      <c r="M42">
        <v>20000</v>
      </c>
      <c r="P42">
        <f t="shared" si="6"/>
        <v>20000</v>
      </c>
      <c r="Q42">
        <v>2</v>
      </c>
      <c r="T42">
        <v>4</v>
      </c>
      <c r="U42">
        <v>1</v>
      </c>
      <c r="V42">
        <v>30000</v>
      </c>
      <c r="Y42">
        <f t="shared" si="1"/>
        <v>120000</v>
      </c>
      <c r="Z42">
        <v>2</v>
      </c>
      <c r="AC42">
        <v>2</v>
      </c>
      <c r="AD42">
        <v>1</v>
      </c>
      <c r="AE42">
        <v>7800</v>
      </c>
      <c r="AH42">
        <f t="shared" si="2"/>
        <v>15600</v>
      </c>
      <c r="AI42">
        <f>IF(매핑v2!H38="○",P42,"")</f>
        <v>20000</v>
      </c>
      <c r="AJ42" t="str">
        <f>IF(매핑v2!H38="○","○","X")</f>
        <v>○</v>
      </c>
      <c r="AK42">
        <f>IF(매핑v2!H38="○",Y42,"")</f>
        <v>120000</v>
      </c>
      <c r="AL42" t="str">
        <f>IF(매핑v2!H38="○","○","X")</f>
        <v>○</v>
      </c>
      <c r="AM42">
        <f>IF(매핑v2!H38="○",AH42,"")</f>
        <v>15600</v>
      </c>
      <c r="AN42" t="str">
        <f>IF(매핑v2!H38="○","○","X")</f>
        <v>○</v>
      </c>
      <c r="AO42">
        <f>IF(매핑v2!I38="○",P42,"")</f>
        <v>20000</v>
      </c>
      <c r="AP42" t="str">
        <f>IF(매핑v2!I38="○","○","X")</f>
        <v>○</v>
      </c>
      <c r="AQ42">
        <f>IF(매핑v2!I38="○",Y42,"")</f>
        <v>120000</v>
      </c>
      <c r="AR42" t="str">
        <f>IF(매핑v2!I38="○","○","X")</f>
        <v>○</v>
      </c>
      <c r="AS42">
        <f>IF(매핑v2!I38="○",AH42,"")</f>
        <v>15600</v>
      </c>
      <c r="AT42" t="str">
        <f>IF(매핑v2!I38="○","○","X")</f>
        <v>○</v>
      </c>
      <c r="AU42">
        <f>IF(매핑v2!J38="○",P42,"")</f>
        <v>20000</v>
      </c>
      <c r="AV42" t="str">
        <f>IF(매핑v2!J38="○","○","X")</f>
        <v>○</v>
      </c>
      <c r="AW42">
        <f>IF(매핑v2!J38="○",Y42,"")</f>
        <v>120000</v>
      </c>
      <c r="AX42" t="str">
        <f>IF(매핑v2!J38="○","○","X")</f>
        <v>○</v>
      </c>
      <c r="AY42">
        <f>IF(매핑v2!J38="○",AH42,"")</f>
        <v>15600</v>
      </c>
      <c r="AZ42" t="str">
        <f>IF(매핑v2!J38="○","○","X")</f>
        <v>○</v>
      </c>
      <c r="BA42" t="str">
        <f>IF(매핑v2!K38="○",P42,"")</f>
        <v/>
      </c>
      <c r="BB42" t="str">
        <f>IF(매핑v2!K38="○","○","X")</f>
        <v>X</v>
      </c>
      <c r="BC42" t="str">
        <f>IF(매핑v2!K38="○",Y42,"")</f>
        <v/>
      </c>
      <c r="BD42" t="str">
        <f>IF(매핑v2!K38="○","○","X")</f>
        <v>X</v>
      </c>
      <c r="BE42" t="str">
        <f>IF(매핑v2!K38="○",AH42,"")</f>
        <v/>
      </c>
      <c r="BF42" t="str">
        <f>IF(매핑v2!K38="○","○","X")</f>
        <v>X</v>
      </c>
      <c r="BG42">
        <f>IF(매핑v2!L38="○",P42,"")</f>
        <v>20000</v>
      </c>
      <c r="BH42" t="str">
        <f>IF(매핑v2!L38="○","○","X")</f>
        <v>○</v>
      </c>
      <c r="BI42">
        <f>IF(매핑v2!L38="○",Y42,"")</f>
        <v>120000</v>
      </c>
      <c r="BJ42" t="s">
        <v>977</v>
      </c>
      <c r="BK42" t="s">
        <v>1102</v>
      </c>
      <c r="BL42" t="s">
        <v>977</v>
      </c>
      <c r="BM42" t="s">
        <v>977</v>
      </c>
      <c r="BN42" t="s">
        <v>1102</v>
      </c>
      <c r="BO42" t="s">
        <v>1102</v>
      </c>
    </row>
    <row r="43" spans="1:67" x14ac:dyDescent="0.3">
      <c r="A43">
        <v>42</v>
      </c>
      <c r="B43" t="s">
        <v>40</v>
      </c>
      <c r="C43" t="s">
        <v>659</v>
      </c>
      <c r="D43" t="s">
        <v>47</v>
      </c>
      <c r="E43" t="s">
        <v>1073</v>
      </c>
      <c r="F43" t="s">
        <v>472</v>
      </c>
      <c r="G43" t="s">
        <v>1074</v>
      </c>
      <c r="H43">
        <v>1</v>
      </c>
      <c r="I43">
        <v>7000000</v>
      </c>
      <c r="J43">
        <v>10</v>
      </c>
      <c r="P43">
        <f t="shared" si="6"/>
        <v>58333.333333333336</v>
      </c>
      <c r="Q43">
        <v>1</v>
      </c>
      <c r="Y43" t="str">
        <f t="shared" si="1"/>
        <v/>
      </c>
      <c r="Z43">
        <v>5</v>
      </c>
      <c r="AA43">
        <v>900000</v>
      </c>
      <c r="AB43">
        <v>2</v>
      </c>
      <c r="AF43">
        <v>600000</v>
      </c>
      <c r="AG43">
        <v>2</v>
      </c>
      <c r="AH43">
        <f t="shared" si="2"/>
        <v>62500</v>
      </c>
      <c r="AI43">
        <f>IF(매핑v2!H39="○",P43,"")</f>
        <v>58333.333333333336</v>
      </c>
      <c r="AJ43" t="str">
        <f>IF(매핑v2!H39="○","○","X")</f>
        <v>○</v>
      </c>
      <c r="AK43" t="str">
        <f>IF(매핑v2!H39="○",Y43,"")</f>
        <v/>
      </c>
      <c r="AL43" t="str">
        <f>IF(매핑v2!H39="○","○","X")</f>
        <v>○</v>
      </c>
      <c r="AM43">
        <f>IF(매핑v2!H39="○",AH43,"")</f>
        <v>62500</v>
      </c>
      <c r="AN43" t="str">
        <f>IF(매핑v2!H39="○","○","X")</f>
        <v>○</v>
      </c>
      <c r="AO43" t="str">
        <f>IF(매핑v2!I39="○",P43,"")</f>
        <v/>
      </c>
      <c r="AP43" t="str">
        <f>IF(매핑v2!I39="○","○","X")</f>
        <v>X</v>
      </c>
      <c r="AQ43" t="str">
        <f>IF(매핑v2!I39="○",Y43,"")</f>
        <v/>
      </c>
      <c r="AR43" t="str">
        <f>IF(매핑v2!I39="○","○","X")</f>
        <v>X</v>
      </c>
      <c r="AS43" t="str">
        <f>IF(매핑v2!I39="○",AH43,"")</f>
        <v/>
      </c>
      <c r="AT43" t="str">
        <f>IF(매핑v2!I39="○","○","X")</f>
        <v>X</v>
      </c>
      <c r="AU43" t="str">
        <f>IF(매핑v2!J39="○",P43,"")</f>
        <v/>
      </c>
      <c r="AV43" t="str">
        <f>IF(매핑v2!J39="○","○","X")</f>
        <v>X</v>
      </c>
      <c r="AW43" t="str">
        <f>IF(매핑v2!J39="○",Y43,"")</f>
        <v/>
      </c>
      <c r="AX43" t="str">
        <f>IF(매핑v2!J39="○","○","X")</f>
        <v>X</v>
      </c>
      <c r="AY43" t="str">
        <f>IF(매핑v2!J39="○",AH43,"")</f>
        <v/>
      </c>
      <c r="AZ43" t="str">
        <f>IF(매핑v2!J39="○","○","X")</f>
        <v>X</v>
      </c>
      <c r="BA43" t="str">
        <f>IF(매핑v2!K39="○",P43,"")</f>
        <v/>
      </c>
      <c r="BB43" t="str">
        <f>IF(매핑v2!K39="○","○","X")</f>
        <v>X</v>
      </c>
      <c r="BC43" t="str">
        <f>IF(매핑v2!K39="○",Y43,"")</f>
        <v/>
      </c>
      <c r="BD43" t="str">
        <f>IF(매핑v2!K39="○","○","X")</f>
        <v>X</v>
      </c>
      <c r="BE43" t="str">
        <f>IF(매핑v2!K39="○",AH43,"")</f>
        <v/>
      </c>
      <c r="BF43" t="str">
        <f>IF(매핑v2!K39="○","○","X")</f>
        <v>X</v>
      </c>
      <c r="BG43" t="str">
        <f>IF(매핑v2!L39="○",P43,"")</f>
        <v/>
      </c>
      <c r="BH43" t="str">
        <f>IF(매핑v2!L39="○","○","X")</f>
        <v>X</v>
      </c>
      <c r="BI43" t="str">
        <f>IF(매핑v2!L39="○",Y43,"")</f>
        <v/>
      </c>
      <c r="BJ43" t="s">
        <v>977</v>
      </c>
      <c r="BL43" t="s">
        <v>977</v>
      </c>
      <c r="BM43" t="s">
        <v>977</v>
      </c>
      <c r="BO43" t="s">
        <v>1102</v>
      </c>
    </row>
    <row r="44" spans="1:67" x14ac:dyDescent="0.3">
      <c r="A44">
        <v>43</v>
      </c>
      <c r="B44" t="s">
        <v>40</v>
      </c>
      <c r="C44" t="s">
        <v>662</v>
      </c>
      <c r="D44" t="s">
        <v>47</v>
      </c>
      <c r="E44" t="s">
        <v>664</v>
      </c>
      <c r="F44" t="s">
        <v>472</v>
      </c>
      <c r="G44" t="s">
        <v>965</v>
      </c>
      <c r="H44">
        <v>1</v>
      </c>
      <c r="I44">
        <v>6000000</v>
      </c>
      <c r="J44">
        <v>7</v>
      </c>
      <c r="P44">
        <f t="shared" si="6"/>
        <v>71428.571428571435</v>
      </c>
      <c r="Q44">
        <v>1</v>
      </c>
      <c r="Y44" t="str">
        <f t="shared" si="1"/>
        <v/>
      </c>
      <c r="Z44">
        <v>1</v>
      </c>
      <c r="AA44">
        <v>2000000</v>
      </c>
      <c r="AB44">
        <v>2</v>
      </c>
      <c r="AH44">
        <f t="shared" si="2"/>
        <v>83333.333333333328</v>
      </c>
      <c r="AI44">
        <f>IF(매핑v2!H40="○",P44,"")</f>
        <v>71428.571428571435</v>
      </c>
      <c r="AJ44" t="str">
        <f>IF(매핑v2!H40="○","○","X")</f>
        <v>○</v>
      </c>
      <c r="AK44" t="str">
        <f>IF(매핑v2!H40="○",Y44,"")</f>
        <v/>
      </c>
      <c r="AL44" t="str">
        <f>IF(매핑v2!H40="○","○","X")</f>
        <v>○</v>
      </c>
      <c r="AM44">
        <f>IF(매핑v2!H40="○",AH44,"")</f>
        <v>83333.333333333328</v>
      </c>
      <c r="AN44" t="str">
        <f>IF(매핑v2!H40="○","○","X")</f>
        <v>○</v>
      </c>
      <c r="AO44">
        <f>IF(매핑v2!I40="○",P44,"")</f>
        <v>71428.571428571435</v>
      </c>
      <c r="AP44" t="str">
        <f>IF(매핑v2!I40="○","○","X")</f>
        <v>○</v>
      </c>
      <c r="AQ44" t="str">
        <f>IF(매핑v2!I40="○",Y44,"")</f>
        <v/>
      </c>
      <c r="AR44" t="str">
        <f>IF(매핑v2!I40="○","○","X")</f>
        <v>○</v>
      </c>
      <c r="AS44">
        <f>IF(매핑v2!I40="○",AH44,"")</f>
        <v>83333.333333333328</v>
      </c>
      <c r="AT44" t="str">
        <f>IF(매핑v2!I40="○","○","X")</f>
        <v>○</v>
      </c>
      <c r="AU44" t="str">
        <f>IF(매핑v2!J40="○",P44,"")</f>
        <v/>
      </c>
      <c r="AV44" t="str">
        <f>IF(매핑v2!J40="○","○","X")</f>
        <v>X</v>
      </c>
      <c r="AW44" t="str">
        <f>IF(매핑v2!J40="○",Y44,"")</f>
        <v/>
      </c>
      <c r="AX44" t="str">
        <f>IF(매핑v2!J40="○","○","X")</f>
        <v>X</v>
      </c>
      <c r="AY44" t="str">
        <f>IF(매핑v2!J40="○",AH44,"")</f>
        <v/>
      </c>
      <c r="AZ44" t="str">
        <f>IF(매핑v2!J40="○","○","X")</f>
        <v>X</v>
      </c>
      <c r="BA44" t="str">
        <f>IF(매핑v2!K40="○",P44,"")</f>
        <v/>
      </c>
      <c r="BB44" t="str">
        <f>IF(매핑v2!K40="○","○","X")</f>
        <v>X</v>
      </c>
      <c r="BC44" t="str">
        <f>IF(매핑v2!K40="○",Y44,"")</f>
        <v/>
      </c>
      <c r="BD44" t="str">
        <f>IF(매핑v2!K40="○","○","X")</f>
        <v>X</v>
      </c>
      <c r="BE44" t="str">
        <f>IF(매핑v2!K40="○",AH44,"")</f>
        <v/>
      </c>
      <c r="BF44" t="str">
        <f>IF(매핑v2!K40="○","○","X")</f>
        <v>X</v>
      </c>
      <c r="BG44" t="str">
        <f>IF(매핑v2!L40="○",P44,"")</f>
        <v/>
      </c>
      <c r="BH44" t="str">
        <f>IF(매핑v2!L40="○","○","X")</f>
        <v>X</v>
      </c>
      <c r="BI44" t="str">
        <f>IF(매핑v2!L40="○",Y44,"")</f>
        <v/>
      </c>
      <c r="BJ44" t="s">
        <v>977</v>
      </c>
      <c r="BL44" t="s">
        <v>977</v>
      </c>
      <c r="BM44" t="s">
        <v>977</v>
      </c>
      <c r="BO44" t="s">
        <v>1102</v>
      </c>
    </row>
    <row r="45" spans="1:67" x14ac:dyDescent="0.3">
      <c r="A45">
        <v>44</v>
      </c>
      <c r="B45" t="s">
        <v>40</v>
      </c>
      <c r="C45" t="s">
        <v>665</v>
      </c>
      <c r="D45" t="s">
        <v>47</v>
      </c>
      <c r="E45" t="s">
        <v>758</v>
      </c>
      <c r="F45" t="s">
        <v>281</v>
      </c>
      <c r="G45" t="s">
        <v>477</v>
      </c>
      <c r="H45">
        <v>1</v>
      </c>
      <c r="I45">
        <v>1500000</v>
      </c>
      <c r="J45">
        <v>5</v>
      </c>
      <c r="P45">
        <f t="shared" si="6"/>
        <v>25000</v>
      </c>
      <c r="Q45">
        <v>1</v>
      </c>
      <c r="R45">
        <v>1500000</v>
      </c>
      <c r="S45">
        <v>5</v>
      </c>
      <c r="Y45">
        <f t="shared" si="1"/>
        <v>25000</v>
      </c>
      <c r="Z45">
        <v>1</v>
      </c>
      <c r="AA45">
        <v>250000</v>
      </c>
      <c r="AB45">
        <v>1</v>
      </c>
      <c r="AH45">
        <f t="shared" si="2"/>
        <v>20833.333333333332</v>
      </c>
      <c r="AI45">
        <f>IF(매핑v2!H41="○",P45,"")</f>
        <v>25000</v>
      </c>
      <c r="AJ45" t="str">
        <f>IF(매핑v2!H41="○","○","X")</f>
        <v>○</v>
      </c>
      <c r="AK45">
        <f>IF(매핑v2!H41="○",Y45,"")</f>
        <v>25000</v>
      </c>
      <c r="AL45" t="str">
        <f>IF(매핑v2!H41="○","○","X")</f>
        <v>○</v>
      </c>
      <c r="AM45">
        <f>IF(매핑v2!H41="○",AH45,"")</f>
        <v>20833.333333333332</v>
      </c>
      <c r="AN45" t="str">
        <f>IF(매핑v2!H41="○","○","X")</f>
        <v>○</v>
      </c>
      <c r="AO45">
        <f>IF(매핑v2!I41="○",P45,"")</f>
        <v>25000</v>
      </c>
      <c r="AP45" t="str">
        <f>IF(매핑v2!I41="○","○","X")</f>
        <v>○</v>
      </c>
      <c r="AQ45">
        <f>IF(매핑v2!I41="○",Y45,"")</f>
        <v>25000</v>
      </c>
      <c r="AR45" t="str">
        <f>IF(매핑v2!I41="○","○","X")</f>
        <v>○</v>
      </c>
      <c r="AS45">
        <f>IF(매핑v2!I41="○",AH45,"")</f>
        <v>20833.333333333332</v>
      </c>
      <c r="AT45" t="str">
        <f>IF(매핑v2!I41="○","○","X")</f>
        <v>○</v>
      </c>
      <c r="AU45">
        <f>IF(매핑v2!J41="○",P45,"")</f>
        <v>25000</v>
      </c>
      <c r="AV45" t="str">
        <f>IF(매핑v2!J41="○","○","X")</f>
        <v>○</v>
      </c>
      <c r="AW45">
        <f>IF(매핑v2!J41="○",Y45,"")</f>
        <v>25000</v>
      </c>
      <c r="AX45" t="str">
        <f>IF(매핑v2!J41="○","○","X")</f>
        <v>○</v>
      </c>
      <c r="AY45">
        <f>IF(매핑v2!J41="○",AH45,"")</f>
        <v>20833.333333333332</v>
      </c>
      <c r="AZ45" t="str">
        <f>IF(매핑v2!J41="○","○","X")</f>
        <v>○</v>
      </c>
      <c r="BA45" t="str">
        <f>IF(매핑v2!K41="○",P45,"")</f>
        <v/>
      </c>
      <c r="BB45" t="str">
        <f>IF(매핑v2!K41="○","○","X")</f>
        <v>X</v>
      </c>
      <c r="BC45" t="str">
        <f>IF(매핑v2!K41="○",Y45,"")</f>
        <v/>
      </c>
      <c r="BD45" t="str">
        <f>IF(매핑v2!K41="○","○","X")</f>
        <v>X</v>
      </c>
      <c r="BE45" t="str">
        <f>IF(매핑v2!K41="○",AH45,"")</f>
        <v/>
      </c>
      <c r="BF45" t="str">
        <f>IF(매핑v2!K41="○","○","X")</f>
        <v>X</v>
      </c>
      <c r="BG45">
        <f>IF(매핑v2!L41="○",P45,"")</f>
        <v>25000</v>
      </c>
      <c r="BH45" t="str">
        <f>IF(매핑v2!L41="○","○","X")</f>
        <v>○</v>
      </c>
      <c r="BI45">
        <f>IF(매핑v2!L41="○",Y45,"")</f>
        <v>25000</v>
      </c>
      <c r="BJ45" t="s">
        <v>977</v>
      </c>
      <c r="BK45" t="s">
        <v>1102</v>
      </c>
      <c r="BL45" t="s">
        <v>1102</v>
      </c>
      <c r="BM45" t="s">
        <v>977</v>
      </c>
      <c r="BN45" t="s">
        <v>1102</v>
      </c>
      <c r="BO45" t="s">
        <v>1102</v>
      </c>
    </row>
    <row r="46" spans="1:67" x14ac:dyDescent="0.3">
      <c r="A46">
        <v>45</v>
      </c>
      <c r="B46" t="s">
        <v>40</v>
      </c>
      <c r="C46" t="s">
        <v>667</v>
      </c>
      <c r="D46" t="s">
        <v>47</v>
      </c>
      <c r="E46" t="s">
        <v>832</v>
      </c>
      <c r="F46" t="s">
        <v>282</v>
      </c>
      <c r="G46" t="s">
        <v>479</v>
      </c>
      <c r="H46">
        <v>1</v>
      </c>
      <c r="I46">
        <v>50000</v>
      </c>
      <c r="J46">
        <v>5</v>
      </c>
      <c r="P46">
        <f t="shared" si="6"/>
        <v>833.33333333333337</v>
      </c>
      <c r="Q46">
        <v>1</v>
      </c>
      <c r="R46">
        <v>250000</v>
      </c>
      <c r="S46">
        <v>5</v>
      </c>
      <c r="Y46">
        <f t="shared" si="1"/>
        <v>4166.666666666667</v>
      </c>
      <c r="Z46">
        <v>1</v>
      </c>
      <c r="AA46">
        <v>35000</v>
      </c>
      <c r="AB46">
        <v>2</v>
      </c>
      <c r="AH46">
        <f t="shared" si="2"/>
        <v>1458.3333333333333</v>
      </c>
      <c r="AI46">
        <f>IF(매핑v2!H42="○",P46,"")</f>
        <v>833.33333333333337</v>
      </c>
      <c r="AJ46" t="str">
        <f>IF(매핑v2!H42="○","○","X")</f>
        <v>○</v>
      </c>
      <c r="AK46">
        <f>IF(매핑v2!H42="○",Y46,"")</f>
        <v>4166.666666666667</v>
      </c>
      <c r="AL46" t="str">
        <f>IF(매핑v2!H42="○","○","X")</f>
        <v>○</v>
      </c>
      <c r="AM46">
        <f>IF(매핑v2!H42="○",AH46,"")</f>
        <v>1458.3333333333333</v>
      </c>
      <c r="AN46" t="str">
        <f>IF(매핑v2!H42="○","○","X")</f>
        <v>○</v>
      </c>
      <c r="AO46">
        <f>IF(매핑v2!I42="○",P46,"")</f>
        <v>833.33333333333337</v>
      </c>
      <c r="AP46" t="str">
        <f>IF(매핑v2!I42="○","○","X")</f>
        <v>○</v>
      </c>
      <c r="AQ46">
        <f>IF(매핑v2!I42="○",Y46,"")</f>
        <v>4166.666666666667</v>
      </c>
      <c r="AR46" t="str">
        <f>IF(매핑v2!I42="○","○","X")</f>
        <v>○</v>
      </c>
      <c r="AS46">
        <f>IF(매핑v2!I42="○",AH46,"")</f>
        <v>1458.3333333333333</v>
      </c>
      <c r="AT46" t="str">
        <f>IF(매핑v2!I42="○","○","X")</f>
        <v>○</v>
      </c>
      <c r="AU46">
        <f>IF(매핑v2!J42="○",P46,"")</f>
        <v>833.33333333333337</v>
      </c>
      <c r="AV46" t="str">
        <f>IF(매핑v2!J42="○","○","X")</f>
        <v>○</v>
      </c>
      <c r="AW46">
        <f>IF(매핑v2!J42="○",Y46,"")</f>
        <v>4166.666666666667</v>
      </c>
      <c r="AX46" t="str">
        <f>IF(매핑v2!J42="○","○","X")</f>
        <v>○</v>
      </c>
      <c r="AY46">
        <f>IF(매핑v2!J42="○",AH46,"")</f>
        <v>1458.3333333333333</v>
      </c>
      <c r="AZ46" t="str">
        <f>IF(매핑v2!J42="○","○","X")</f>
        <v>○</v>
      </c>
      <c r="BA46" t="str">
        <f>IF(매핑v2!K42="○",P46,"")</f>
        <v/>
      </c>
      <c r="BB46" t="str">
        <f>IF(매핑v2!K42="○","○","X")</f>
        <v>X</v>
      </c>
      <c r="BC46" t="str">
        <f>IF(매핑v2!K42="○",Y46,"")</f>
        <v/>
      </c>
      <c r="BD46" t="str">
        <f>IF(매핑v2!K42="○","○","X")</f>
        <v>X</v>
      </c>
      <c r="BE46" t="str">
        <f>IF(매핑v2!K42="○",AH46,"")</f>
        <v/>
      </c>
      <c r="BF46" t="str">
        <f>IF(매핑v2!K42="○","○","X")</f>
        <v>X</v>
      </c>
      <c r="BG46">
        <f>IF(매핑v2!L42="○",P46,"")</f>
        <v>833.33333333333337</v>
      </c>
      <c r="BH46" t="str">
        <f>IF(매핑v2!L42="○","○","X")</f>
        <v>○</v>
      </c>
      <c r="BI46">
        <f>IF(매핑v2!L42="○",Y46,"")</f>
        <v>4166.666666666667</v>
      </c>
      <c r="BJ46" t="s">
        <v>977</v>
      </c>
      <c r="BK46" t="s">
        <v>1102</v>
      </c>
      <c r="BL46" t="s">
        <v>977</v>
      </c>
      <c r="BM46" t="s">
        <v>977</v>
      </c>
      <c r="BN46" t="s">
        <v>1102</v>
      </c>
      <c r="BO46" t="s">
        <v>1102</v>
      </c>
    </row>
    <row r="47" spans="1:67" x14ac:dyDescent="0.3">
      <c r="A47">
        <v>46</v>
      </c>
      <c r="B47" t="s">
        <v>40</v>
      </c>
      <c r="C47" t="s">
        <v>668</v>
      </c>
      <c r="D47" t="s">
        <v>47</v>
      </c>
      <c r="E47" t="s">
        <v>834</v>
      </c>
      <c r="F47" t="s">
        <v>283</v>
      </c>
      <c r="G47" t="s">
        <v>481</v>
      </c>
      <c r="H47">
        <v>1</v>
      </c>
      <c r="I47">
        <v>450000</v>
      </c>
      <c r="J47">
        <f>8/12</f>
        <v>0.66666666666666663</v>
      </c>
      <c r="P47">
        <f t="shared" si="6"/>
        <v>56250</v>
      </c>
      <c r="Q47">
        <v>1</v>
      </c>
      <c r="R47">
        <v>1200000</v>
      </c>
      <c r="S47">
        <v>1</v>
      </c>
      <c r="Y47">
        <f t="shared" si="1"/>
        <v>100000</v>
      </c>
      <c r="Z47">
        <v>1</v>
      </c>
      <c r="AC47">
        <v>1</v>
      </c>
      <c r="AD47">
        <v>1</v>
      </c>
      <c r="AE47">
        <v>30000</v>
      </c>
      <c r="AH47" t="str">
        <f t="shared" si="2"/>
        <v/>
      </c>
      <c r="AI47">
        <f>IF(매핑v2!H44="○",P47,"")</f>
        <v>56250</v>
      </c>
      <c r="AJ47" t="str">
        <f>IF(매핑v2!H44="○","○","X")</f>
        <v>○</v>
      </c>
      <c r="AK47">
        <f>IF(매핑v2!H44="○",Y47,"")</f>
        <v>100000</v>
      </c>
      <c r="AL47" t="str">
        <f>IF(매핑v2!H44="○","○","X")</f>
        <v>○</v>
      </c>
      <c r="AM47" t="str">
        <f>IF(매핑v2!H44="○",AH47,"")</f>
        <v/>
      </c>
      <c r="AN47" t="str">
        <f>IF(매핑v2!H44="○","○","X")</f>
        <v>○</v>
      </c>
      <c r="AO47">
        <f>IF(매핑v2!I44="○",P47,"")</f>
        <v>56250</v>
      </c>
      <c r="AP47" t="str">
        <f>IF(매핑v2!I44="○","○","X")</f>
        <v>○</v>
      </c>
      <c r="AQ47">
        <f>IF(매핑v2!I44="○",Y47,"")</f>
        <v>100000</v>
      </c>
      <c r="AR47" t="str">
        <f>IF(매핑v2!I44="○","○","X")</f>
        <v>○</v>
      </c>
      <c r="AS47" t="str">
        <f>IF(매핑v2!I44="○",AH47,"")</f>
        <v/>
      </c>
      <c r="AT47" t="str">
        <f>IF(매핑v2!I44="○","○","X")</f>
        <v>○</v>
      </c>
      <c r="AU47">
        <f>IF(매핑v2!J44="○",P47,"")</f>
        <v>56250</v>
      </c>
      <c r="AV47" t="str">
        <f>IF(매핑v2!J44="○","○","X")</f>
        <v>○</v>
      </c>
      <c r="AW47">
        <f>IF(매핑v2!J44="○",Y47,"")</f>
        <v>100000</v>
      </c>
      <c r="AX47" t="str">
        <f>IF(매핑v2!J44="○","○","X")</f>
        <v>○</v>
      </c>
      <c r="AY47" t="str">
        <f>IF(매핑v2!J44="○",AH47,"")</f>
        <v/>
      </c>
      <c r="AZ47" t="str">
        <f>IF(매핑v2!J44="○","○","X")</f>
        <v>○</v>
      </c>
      <c r="BA47" t="str">
        <f>IF(매핑v2!K44="○",P47,"")</f>
        <v/>
      </c>
      <c r="BB47" t="str">
        <f>IF(매핑v2!K44="○","○","X")</f>
        <v>X</v>
      </c>
      <c r="BC47" t="str">
        <f>IF(매핑v2!K44="○",Y47,"")</f>
        <v/>
      </c>
      <c r="BD47" t="str">
        <f>IF(매핑v2!K44="○","○","X")</f>
        <v>X</v>
      </c>
      <c r="BE47" t="str">
        <f>IF(매핑v2!K44="○",AH47,"")</f>
        <v/>
      </c>
      <c r="BF47" t="str">
        <f>IF(매핑v2!K44="○","○","X")</f>
        <v>X</v>
      </c>
      <c r="BG47">
        <f>IF(매핑v2!L44="○",P47,"")</f>
        <v>56250</v>
      </c>
      <c r="BH47" t="str">
        <f>IF(매핑v2!L44="○","○","X")</f>
        <v>○</v>
      </c>
      <c r="BI47">
        <f>IF(매핑v2!L44="○",Y47,"")</f>
        <v>100000</v>
      </c>
      <c r="BJ47" t="s">
        <v>977</v>
      </c>
      <c r="BK47" t="s">
        <v>1102</v>
      </c>
      <c r="BL47" t="s">
        <v>977</v>
      </c>
      <c r="BM47" t="s">
        <v>977</v>
      </c>
      <c r="BN47" t="s">
        <v>1102</v>
      </c>
      <c r="BO47" t="s">
        <v>1102</v>
      </c>
    </row>
    <row r="48" spans="1:67" x14ac:dyDescent="0.3">
      <c r="A48">
        <v>47</v>
      </c>
      <c r="B48" t="s">
        <v>40</v>
      </c>
      <c r="C48" t="s">
        <v>669</v>
      </c>
      <c r="D48" t="s">
        <v>36</v>
      </c>
      <c r="E48" t="s">
        <v>670</v>
      </c>
      <c r="F48" t="s">
        <v>273</v>
      </c>
      <c r="G48" t="s">
        <v>451</v>
      </c>
      <c r="H48">
        <v>2</v>
      </c>
      <c r="K48">
        <v>1</v>
      </c>
      <c r="L48">
        <v>1</v>
      </c>
      <c r="M48">
        <v>3000</v>
      </c>
      <c r="P48">
        <f t="shared" si="6"/>
        <v>3000</v>
      </c>
      <c r="Q48">
        <v>1</v>
      </c>
      <c r="R48">
        <v>200000</v>
      </c>
      <c r="S48">
        <v>1</v>
      </c>
      <c r="Y48">
        <f t="shared" si="1"/>
        <v>16666.666666666668</v>
      </c>
      <c r="Z48">
        <v>2</v>
      </c>
      <c r="AC48">
        <v>1</v>
      </c>
      <c r="AD48">
        <v>1</v>
      </c>
      <c r="AE48">
        <v>2000</v>
      </c>
      <c r="AH48">
        <f t="shared" si="2"/>
        <v>2000</v>
      </c>
      <c r="AI48">
        <f>IF(매핑v2!H45="○",P48,"")</f>
        <v>3000</v>
      </c>
      <c r="AJ48" t="str">
        <f>IF(매핑v2!H45="○","○","X")</f>
        <v>○</v>
      </c>
      <c r="AK48">
        <f>IF(매핑v2!H45="○",Y48,"")</f>
        <v>16666.666666666668</v>
      </c>
      <c r="AL48" t="str">
        <f>IF(매핑v2!H45="○","○","X")</f>
        <v>○</v>
      </c>
      <c r="AM48">
        <f>IF(매핑v2!H45="○",AH48,"")</f>
        <v>2000</v>
      </c>
      <c r="AN48" t="str">
        <f>IF(매핑v2!H45="○","○","X")</f>
        <v>○</v>
      </c>
      <c r="AO48">
        <f>IF(매핑v2!I45="○",P48,"")</f>
        <v>3000</v>
      </c>
      <c r="AP48" t="str">
        <f>IF(매핑v2!I45="○","○","X")</f>
        <v>○</v>
      </c>
      <c r="AQ48">
        <f>IF(매핑v2!I45="○",Y48,"")</f>
        <v>16666.666666666668</v>
      </c>
      <c r="AR48" t="str">
        <f>IF(매핑v2!I45="○","○","X")</f>
        <v>○</v>
      </c>
      <c r="AS48">
        <f>IF(매핑v2!I45="○",AH48,"")</f>
        <v>2000</v>
      </c>
      <c r="AT48" t="str">
        <f>IF(매핑v2!I45="○","○","X")</f>
        <v>○</v>
      </c>
      <c r="AU48">
        <f>IF(매핑v2!J45="○",P48,"")</f>
        <v>3000</v>
      </c>
      <c r="AV48" t="str">
        <f>IF(매핑v2!J45="○","○","X")</f>
        <v>○</v>
      </c>
      <c r="AW48">
        <f>IF(매핑v2!J45="○",Y48,"")</f>
        <v>16666.666666666668</v>
      </c>
      <c r="AX48" t="str">
        <f>IF(매핑v2!J45="○","○","X")</f>
        <v>○</v>
      </c>
      <c r="AY48">
        <f>IF(매핑v2!J45="○",AH48,"")</f>
        <v>2000</v>
      </c>
      <c r="AZ48" t="str">
        <f>IF(매핑v2!J45="○","○","X")</f>
        <v>○</v>
      </c>
      <c r="BA48">
        <f>IF(매핑v2!K45="○",P48,"")</f>
        <v>3000</v>
      </c>
      <c r="BB48" t="str">
        <f>IF(매핑v2!K45="○","○","X")</f>
        <v>○</v>
      </c>
      <c r="BC48">
        <f>IF(매핑v2!K45="○",Y48,"")</f>
        <v>16666.666666666668</v>
      </c>
      <c r="BD48" t="str">
        <f>IF(매핑v2!K45="○","○","X")</f>
        <v>○</v>
      </c>
      <c r="BE48">
        <f>IF(매핑v2!K45="○",AH48,"")</f>
        <v>2000</v>
      </c>
      <c r="BF48" t="str">
        <f>IF(매핑v2!K45="○","○","X")</f>
        <v>○</v>
      </c>
      <c r="BG48">
        <f>IF(매핑v2!L45="○",P48,"")</f>
        <v>3000</v>
      </c>
      <c r="BH48" t="str">
        <f>IF(매핑v2!L45="○","○","X")</f>
        <v>○</v>
      </c>
      <c r="BI48">
        <f>IF(매핑v2!L45="○",Y48,"")</f>
        <v>16666.666666666668</v>
      </c>
      <c r="BJ48" t="s">
        <v>977</v>
      </c>
      <c r="BK48" t="s">
        <v>1102</v>
      </c>
      <c r="BL48" t="s">
        <v>977</v>
      </c>
      <c r="BM48" t="s">
        <v>977</v>
      </c>
      <c r="BN48" t="s">
        <v>1102</v>
      </c>
      <c r="BO48" t="s">
        <v>1102</v>
      </c>
    </row>
    <row r="49" spans="1:67" x14ac:dyDescent="0.3">
      <c r="A49">
        <v>48</v>
      </c>
      <c r="B49" t="s">
        <v>40</v>
      </c>
      <c r="C49" t="s">
        <v>671</v>
      </c>
      <c r="D49" t="s">
        <v>1075</v>
      </c>
      <c r="E49" t="s">
        <v>760</v>
      </c>
      <c r="F49" t="s">
        <v>920</v>
      </c>
      <c r="G49" t="s">
        <v>921</v>
      </c>
      <c r="H49">
        <v>2</v>
      </c>
      <c r="K49">
        <v>1</v>
      </c>
      <c r="L49">
        <v>0.5</v>
      </c>
      <c r="M49">
        <v>50000</v>
      </c>
      <c r="P49">
        <f t="shared" si="6"/>
        <v>25000</v>
      </c>
      <c r="Q49">
        <v>2</v>
      </c>
      <c r="T49">
        <v>1</v>
      </c>
      <c r="U49">
        <v>1</v>
      </c>
      <c r="V49">
        <v>150000</v>
      </c>
      <c r="Y49">
        <f t="shared" si="1"/>
        <v>150000</v>
      </c>
      <c r="Z49">
        <v>2</v>
      </c>
      <c r="AH49" t="str">
        <f t="shared" si="2"/>
        <v/>
      </c>
      <c r="AI49" t="str">
        <f>IF(매핑v2!H46="○",P49,"")</f>
        <v/>
      </c>
      <c r="AJ49" t="str">
        <f>IF(매핑v2!H46="○","○","X")</f>
        <v>X</v>
      </c>
      <c r="AK49" t="str">
        <f>IF(매핑v2!H46="○",Y49,"")</f>
        <v/>
      </c>
      <c r="AL49" t="str">
        <f>IF(매핑v2!H46="○","○","X")</f>
        <v>X</v>
      </c>
      <c r="AM49" t="str">
        <f>IF(매핑v2!H46="○",AH49,"")</f>
        <v/>
      </c>
      <c r="AN49" t="str">
        <f>IF(매핑v2!H46="○","○","X")</f>
        <v>X</v>
      </c>
      <c r="AO49">
        <f>IF(매핑v2!I46="○",P49,"")</f>
        <v>25000</v>
      </c>
      <c r="AP49" t="str">
        <f>IF(매핑v2!I46="○","○","X")</f>
        <v>○</v>
      </c>
      <c r="AQ49">
        <f>IF(매핑v2!I46="○",Y49,"")</f>
        <v>150000</v>
      </c>
      <c r="AR49" t="str">
        <f>IF(매핑v2!I46="○","○","X")</f>
        <v>○</v>
      </c>
      <c r="AS49" t="str">
        <f>IF(매핑v2!I46="○",AH49,"")</f>
        <v/>
      </c>
      <c r="AT49" t="str">
        <f>IF(매핑v2!I46="○","○","X")</f>
        <v>○</v>
      </c>
      <c r="AU49">
        <f>IF(매핑v2!J46="○",P49,"")</f>
        <v>25000</v>
      </c>
      <c r="AV49" t="str">
        <f>IF(매핑v2!J46="○","○","X")</f>
        <v>○</v>
      </c>
      <c r="AW49">
        <f>IF(매핑v2!J46="○",Y49,"")</f>
        <v>150000</v>
      </c>
      <c r="AX49" t="str">
        <f>IF(매핑v2!J46="○","○","X")</f>
        <v>○</v>
      </c>
      <c r="AY49" t="str">
        <f>IF(매핑v2!J46="○",AH49,"")</f>
        <v/>
      </c>
      <c r="AZ49" t="str">
        <f>IF(매핑v2!J46="○","○","X")</f>
        <v>○</v>
      </c>
      <c r="BA49">
        <f>IF(매핑v2!K46="○",P49,"")</f>
        <v>25000</v>
      </c>
      <c r="BB49" t="str">
        <f>IF(매핑v2!K46="○","○","X")</f>
        <v>○</v>
      </c>
      <c r="BC49">
        <f>IF(매핑v2!K46="○",Y49,"")</f>
        <v>150000</v>
      </c>
      <c r="BD49" t="str">
        <f>IF(매핑v2!K46="○","○","X")</f>
        <v>○</v>
      </c>
      <c r="BE49" t="str">
        <f>IF(매핑v2!K46="○",AH49,"")</f>
        <v/>
      </c>
      <c r="BF49" t="str">
        <f>IF(매핑v2!K46="○","○","X")</f>
        <v>○</v>
      </c>
      <c r="BG49" t="str">
        <f>IF(매핑v2!L46="○",P49,"")</f>
        <v/>
      </c>
      <c r="BH49" t="str">
        <f>IF(매핑v2!L46="○","○","X")</f>
        <v>X</v>
      </c>
      <c r="BI49" t="str">
        <f>IF(매핑v2!L46="○",Y49,"")</f>
        <v/>
      </c>
      <c r="BJ49" t="s">
        <v>977</v>
      </c>
      <c r="BK49" t="s">
        <v>1102</v>
      </c>
      <c r="BL49" t="s">
        <v>1102</v>
      </c>
      <c r="BM49" t="s">
        <v>977</v>
      </c>
      <c r="BN49" t="s">
        <v>1102</v>
      </c>
      <c r="BO49" t="s">
        <v>1102</v>
      </c>
    </row>
    <row r="50" spans="1:67" x14ac:dyDescent="0.3">
      <c r="A50">
        <v>49</v>
      </c>
      <c r="B50" t="s">
        <v>40</v>
      </c>
      <c r="C50" t="s">
        <v>672</v>
      </c>
      <c r="D50" t="s">
        <v>63</v>
      </c>
      <c r="E50" t="s">
        <v>673</v>
      </c>
      <c r="F50" t="s">
        <v>922</v>
      </c>
      <c r="G50" t="s">
        <v>923</v>
      </c>
      <c r="H50">
        <v>2</v>
      </c>
      <c r="K50">
        <v>1</v>
      </c>
      <c r="L50">
        <v>1</v>
      </c>
      <c r="M50">
        <v>30000</v>
      </c>
      <c r="P50">
        <f t="shared" si="6"/>
        <v>30000</v>
      </c>
      <c r="Q50">
        <v>2</v>
      </c>
      <c r="T50">
        <v>1</v>
      </c>
      <c r="U50">
        <v>1</v>
      </c>
      <c r="V50">
        <v>200000</v>
      </c>
      <c r="Y50">
        <f t="shared" si="1"/>
        <v>200000</v>
      </c>
      <c r="Z50">
        <v>2</v>
      </c>
      <c r="AC50">
        <v>1</v>
      </c>
      <c r="AD50">
        <v>1</v>
      </c>
      <c r="AE50">
        <f>10000+50000</f>
        <v>60000</v>
      </c>
      <c r="AH50">
        <f t="shared" si="2"/>
        <v>60000</v>
      </c>
      <c r="AI50" t="str">
        <f>IF(매핑v2!H47="○",P50,"")</f>
        <v/>
      </c>
      <c r="AJ50" t="str">
        <f>IF(매핑v2!H47="○","○","X")</f>
        <v>X</v>
      </c>
      <c r="AK50" t="str">
        <f>IF(매핑v2!H47="○",Y50,"")</f>
        <v/>
      </c>
      <c r="AL50" t="str">
        <f>IF(매핑v2!H47="○","○","X")</f>
        <v>X</v>
      </c>
      <c r="AM50" t="str">
        <f>IF(매핑v2!H47="○",AH50,"")</f>
        <v/>
      </c>
      <c r="AN50" t="str">
        <f>IF(매핑v2!H47="○","○","X")</f>
        <v>X</v>
      </c>
      <c r="AO50" t="str">
        <f>IF(매핑v2!I47="○",P50,"")</f>
        <v/>
      </c>
      <c r="AP50" t="str">
        <f>IF(매핑v2!I47="○","○","X")</f>
        <v>X</v>
      </c>
      <c r="AQ50" t="str">
        <f>IF(매핑v2!I47="○",Y50,"")</f>
        <v/>
      </c>
      <c r="AR50" t="str">
        <f>IF(매핑v2!I47="○","○","X")</f>
        <v>X</v>
      </c>
      <c r="AS50" t="str">
        <f>IF(매핑v2!I47="○",AH50,"")</f>
        <v/>
      </c>
      <c r="AT50" t="str">
        <f>IF(매핑v2!I47="○","○","X")</f>
        <v>X</v>
      </c>
      <c r="AU50" t="str">
        <f>IF(매핑v2!J47="○",P50,"")</f>
        <v/>
      </c>
      <c r="AV50" t="str">
        <f>IF(매핑v2!J47="○","○","X")</f>
        <v>X</v>
      </c>
      <c r="AW50" t="str">
        <f>IF(매핑v2!J47="○",Y50,"")</f>
        <v/>
      </c>
      <c r="AX50" t="str">
        <f>IF(매핑v2!J47="○","○","X")</f>
        <v>X</v>
      </c>
      <c r="AY50" t="str">
        <f>IF(매핑v2!J47="○",AH50,"")</f>
        <v/>
      </c>
      <c r="AZ50" t="str">
        <f>IF(매핑v2!J47="○","○","X")</f>
        <v>X</v>
      </c>
      <c r="BA50" t="str">
        <f>IF(매핑v2!K47="○",P50,"")</f>
        <v/>
      </c>
      <c r="BB50" t="str">
        <f>IF(매핑v2!K47="○","○","X")</f>
        <v>X</v>
      </c>
      <c r="BC50" t="str">
        <f>IF(매핑v2!K47="○",Y50,"")</f>
        <v/>
      </c>
      <c r="BD50" t="str">
        <f>IF(매핑v2!K47="○","○","X")</f>
        <v>X</v>
      </c>
      <c r="BE50" t="str">
        <f>IF(매핑v2!K47="○",AH50,"")</f>
        <v/>
      </c>
      <c r="BF50" t="str">
        <f>IF(매핑v2!K47="○","○","X")</f>
        <v>X</v>
      </c>
      <c r="BG50" t="str">
        <f>IF(매핑v2!L47="○",P50,"")</f>
        <v/>
      </c>
      <c r="BH50" t="str">
        <f>IF(매핑v2!L47="○","○","X")</f>
        <v>X</v>
      </c>
      <c r="BI50" t="str">
        <f>IF(매핑v2!L47="○",Y50,"")</f>
        <v/>
      </c>
      <c r="BJ50" t="s">
        <v>977</v>
      </c>
      <c r="BK50" t="s">
        <v>1102</v>
      </c>
      <c r="BL50" t="s">
        <v>977</v>
      </c>
      <c r="BM50" t="s">
        <v>977</v>
      </c>
      <c r="BN50" t="s">
        <v>1102</v>
      </c>
      <c r="BO50" t="s">
        <v>1102</v>
      </c>
    </row>
    <row r="51" spans="1:67" x14ac:dyDescent="0.3">
      <c r="A51">
        <v>50</v>
      </c>
      <c r="B51" t="s">
        <v>40</v>
      </c>
      <c r="C51" t="s">
        <v>674</v>
      </c>
      <c r="D51" t="s">
        <v>1076</v>
      </c>
      <c r="E51" t="s">
        <v>761</v>
      </c>
      <c r="F51" t="s">
        <v>924</v>
      </c>
      <c r="G51" t="s">
        <v>925</v>
      </c>
      <c r="H51">
        <v>2</v>
      </c>
      <c r="K51">
        <v>1</v>
      </c>
      <c r="L51">
        <v>0.25</v>
      </c>
      <c r="M51">
        <v>50000</v>
      </c>
      <c r="P51">
        <f t="shared" si="6"/>
        <v>12500</v>
      </c>
      <c r="Q51">
        <v>2</v>
      </c>
      <c r="T51">
        <v>1</v>
      </c>
      <c r="U51">
        <v>1</v>
      </c>
      <c r="V51">
        <v>100000</v>
      </c>
      <c r="Y51">
        <f t="shared" si="1"/>
        <v>100000</v>
      </c>
      <c r="Z51">
        <v>3</v>
      </c>
      <c r="AF51">
        <v>1000000</v>
      </c>
      <c r="AG51">
        <v>1</v>
      </c>
      <c r="AH51">
        <f t="shared" si="2"/>
        <v>83333.333333333328</v>
      </c>
      <c r="AI51" t="str">
        <f>IF(매핑v2!H48="○",P51,"")</f>
        <v/>
      </c>
      <c r="AJ51" t="str">
        <f>IF(매핑v2!H48="○","○","X")</f>
        <v>X</v>
      </c>
      <c r="AK51" t="str">
        <f>IF(매핑v2!H48="○",Y51,"")</f>
        <v/>
      </c>
      <c r="AL51" t="str">
        <f>IF(매핑v2!H48="○","○","X")</f>
        <v>X</v>
      </c>
      <c r="AM51" t="str">
        <f>IF(매핑v2!H48="○",AH51,"")</f>
        <v/>
      </c>
      <c r="AN51" t="str">
        <f>IF(매핑v2!H48="○","○","X")</f>
        <v>X</v>
      </c>
      <c r="AO51" t="str">
        <f>IF(매핑v2!I48="○",P51,"")</f>
        <v/>
      </c>
      <c r="AP51" t="str">
        <f>IF(매핑v2!I48="○","○","X")</f>
        <v>X</v>
      </c>
      <c r="AQ51" t="str">
        <f>IF(매핑v2!I48="○",Y51,"")</f>
        <v/>
      </c>
      <c r="AR51" t="str">
        <f>IF(매핑v2!I48="○","○","X")</f>
        <v>X</v>
      </c>
      <c r="AS51" t="str">
        <f>IF(매핑v2!I48="○",AH51,"")</f>
        <v/>
      </c>
      <c r="AT51" t="str">
        <f>IF(매핑v2!I48="○","○","X")</f>
        <v>X</v>
      </c>
      <c r="AU51" t="str">
        <f>IF(매핑v2!J48="○",P51,"")</f>
        <v/>
      </c>
      <c r="AV51" t="str">
        <f>IF(매핑v2!J48="○","○","X")</f>
        <v>X</v>
      </c>
      <c r="AW51" t="str">
        <f>IF(매핑v2!J48="○",Y51,"")</f>
        <v/>
      </c>
      <c r="AX51" t="str">
        <f>IF(매핑v2!J48="○","○","X")</f>
        <v>X</v>
      </c>
      <c r="AY51" t="str">
        <f>IF(매핑v2!J48="○",AH51,"")</f>
        <v/>
      </c>
      <c r="AZ51" t="str">
        <f>IF(매핑v2!J48="○","○","X")</f>
        <v>X</v>
      </c>
      <c r="BA51" t="str">
        <f>IF(매핑v2!K48="○",P51,"")</f>
        <v/>
      </c>
      <c r="BB51" t="str">
        <f>IF(매핑v2!K48="○","○","X")</f>
        <v>X</v>
      </c>
      <c r="BC51" t="str">
        <f>IF(매핑v2!K48="○",Y51,"")</f>
        <v/>
      </c>
      <c r="BD51" t="str">
        <f>IF(매핑v2!K48="○","○","X")</f>
        <v>X</v>
      </c>
      <c r="BE51" t="str">
        <f>IF(매핑v2!K48="○",AH51,"")</f>
        <v/>
      </c>
      <c r="BF51" t="str">
        <f>IF(매핑v2!K48="○","○","X")</f>
        <v>X</v>
      </c>
      <c r="BG51" t="str">
        <f>IF(매핑v2!L48="○",P51,"")</f>
        <v/>
      </c>
      <c r="BH51" t="str">
        <f>IF(매핑v2!L48="○","○","X")</f>
        <v>X</v>
      </c>
      <c r="BI51" t="str">
        <f>IF(매핑v2!L48="○",Y51,"")</f>
        <v/>
      </c>
      <c r="BJ51" t="s">
        <v>977</v>
      </c>
      <c r="BK51" t="s">
        <v>1102</v>
      </c>
      <c r="BL51" t="s">
        <v>1102</v>
      </c>
      <c r="BM51" t="s">
        <v>977</v>
      </c>
      <c r="BN51" t="s">
        <v>1102</v>
      </c>
      <c r="BO51" t="s">
        <v>1102</v>
      </c>
    </row>
    <row r="52" spans="1:67" x14ac:dyDescent="0.3">
      <c r="A52">
        <v>51</v>
      </c>
      <c r="B52" t="s">
        <v>40</v>
      </c>
      <c r="C52" t="s">
        <v>676</v>
      </c>
      <c r="D52" t="s">
        <v>36</v>
      </c>
      <c r="E52" t="s">
        <v>835</v>
      </c>
      <c r="F52" t="s">
        <v>926</v>
      </c>
      <c r="G52" t="s">
        <v>927</v>
      </c>
      <c r="H52">
        <v>2</v>
      </c>
      <c r="K52">
        <v>1</v>
      </c>
      <c r="L52">
        <v>1</v>
      </c>
      <c r="M52">
        <v>10000</v>
      </c>
      <c r="P52">
        <f t="shared" si="6"/>
        <v>10000</v>
      </c>
      <c r="Q52">
        <v>2</v>
      </c>
      <c r="T52">
        <v>1</v>
      </c>
      <c r="U52">
        <v>1</v>
      </c>
      <c r="V52">
        <v>50000</v>
      </c>
      <c r="Y52">
        <f t="shared" si="1"/>
        <v>50000</v>
      </c>
      <c r="Z52">
        <v>1</v>
      </c>
      <c r="AA52">
        <v>3000</v>
      </c>
      <c r="AB52">
        <v>1</v>
      </c>
      <c r="AH52">
        <f t="shared" si="2"/>
        <v>250</v>
      </c>
      <c r="AI52" t="str">
        <f>IF(매핑v2!H49="○",P52,"")</f>
        <v/>
      </c>
      <c r="AJ52" t="str">
        <f>IF(매핑v2!H49="○","○","X")</f>
        <v>X</v>
      </c>
      <c r="AK52" t="str">
        <f>IF(매핑v2!H49="○",Y52,"")</f>
        <v/>
      </c>
      <c r="AL52" t="str">
        <f>IF(매핑v2!H49="○","○","X")</f>
        <v>X</v>
      </c>
      <c r="AM52" t="str">
        <f>IF(매핑v2!H49="○",AH52,"")</f>
        <v/>
      </c>
      <c r="AN52" t="str">
        <f>IF(매핑v2!H49="○","○","X")</f>
        <v>X</v>
      </c>
      <c r="AO52" t="str">
        <f>IF(매핑v2!I49="○",P52,"")</f>
        <v/>
      </c>
      <c r="AP52" t="str">
        <f>IF(매핑v2!I49="○","○","X")</f>
        <v>X</v>
      </c>
      <c r="AQ52" t="str">
        <f>IF(매핑v2!I49="○",Y52,"")</f>
        <v/>
      </c>
      <c r="AR52" t="str">
        <f>IF(매핑v2!I49="○","○","X")</f>
        <v>X</v>
      </c>
      <c r="AS52" t="str">
        <f>IF(매핑v2!I49="○",AH52,"")</f>
        <v/>
      </c>
      <c r="AT52" t="str">
        <f>IF(매핑v2!I49="○","○","X")</f>
        <v>X</v>
      </c>
      <c r="AU52" t="str">
        <f>IF(매핑v2!J49="○",P52,"")</f>
        <v/>
      </c>
      <c r="AV52" t="str">
        <f>IF(매핑v2!J49="○","○","X")</f>
        <v>X</v>
      </c>
      <c r="AW52" t="str">
        <f>IF(매핑v2!J49="○",Y52,"")</f>
        <v/>
      </c>
      <c r="AX52" t="str">
        <f>IF(매핑v2!J49="○","○","X")</f>
        <v>X</v>
      </c>
      <c r="AY52" t="str">
        <f>IF(매핑v2!J49="○",AH52,"")</f>
        <v/>
      </c>
      <c r="AZ52" t="str">
        <f>IF(매핑v2!J49="○","○","X")</f>
        <v>X</v>
      </c>
      <c r="BA52" t="str">
        <f>IF(매핑v2!K49="○",P52,"")</f>
        <v/>
      </c>
      <c r="BB52" t="str">
        <f>IF(매핑v2!K49="○","○","X")</f>
        <v>X</v>
      </c>
      <c r="BC52" t="str">
        <f>IF(매핑v2!K49="○",Y52,"")</f>
        <v/>
      </c>
      <c r="BD52" t="str">
        <f>IF(매핑v2!K49="○","○","X")</f>
        <v>X</v>
      </c>
      <c r="BE52" t="str">
        <f>IF(매핑v2!K49="○",AH52,"")</f>
        <v/>
      </c>
      <c r="BF52" t="str">
        <f>IF(매핑v2!K49="○","○","X")</f>
        <v>X</v>
      </c>
      <c r="BG52" t="str">
        <f>IF(매핑v2!L49="○",P52,"")</f>
        <v/>
      </c>
      <c r="BH52" t="str">
        <f>IF(매핑v2!L49="○","○","X")</f>
        <v>X</v>
      </c>
      <c r="BI52" t="str">
        <f>IF(매핑v2!L49="○",Y52,"")</f>
        <v/>
      </c>
      <c r="BJ52" t="s">
        <v>977</v>
      </c>
      <c r="BK52" t="s">
        <v>1102</v>
      </c>
      <c r="BL52" t="s">
        <v>977</v>
      </c>
      <c r="BM52" t="s">
        <v>977</v>
      </c>
      <c r="BN52" t="s">
        <v>977</v>
      </c>
      <c r="BO52" t="s">
        <v>1102</v>
      </c>
    </row>
    <row r="53" spans="1:67" x14ac:dyDescent="0.3">
      <c r="A53">
        <v>52</v>
      </c>
      <c r="B53" t="s">
        <v>186</v>
      </c>
      <c r="C53" t="s">
        <v>677</v>
      </c>
      <c r="D53" t="s">
        <v>63</v>
      </c>
      <c r="E53" t="s">
        <v>836</v>
      </c>
      <c r="F53" t="s">
        <v>460</v>
      </c>
      <c r="G53" t="s">
        <v>461</v>
      </c>
      <c r="H53">
        <v>1</v>
      </c>
      <c r="I53">
        <v>400000</v>
      </c>
      <c r="J53">
        <v>5</v>
      </c>
      <c r="P53">
        <f t="shared" si="6"/>
        <v>6666.666666666667</v>
      </c>
      <c r="Q53">
        <v>1</v>
      </c>
      <c r="R53">
        <v>2000000</v>
      </c>
      <c r="S53">
        <v>2</v>
      </c>
      <c r="Y53">
        <f t="shared" si="1"/>
        <v>83333.333333333328</v>
      </c>
      <c r="Z53">
        <v>1</v>
      </c>
      <c r="AA53">
        <v>300000</v>
      </c>
      <c r="AB53">
        <v>2</v>
      </c>
      <c r="AH53">
        <f t="shared" si="2"/>
        <v>12500</v>
      </c>
      <c r="AI53">
        <f>IF(매핑v2!H50="○",P53,"")</f>
        <v>6666.666666666667</v>
      </c>
      <c r="AJ53" t="str">
        <f>IF(매핑v2!H50="○","○","X")</f>
        <v>○</v>
      </c>
      <c r="AK53">
        <f>IF(매핑v2!H50="○",Y53,"")</f>
        <v>83333.333333333328</v>
      </c>
      <c r="AL53" t="str">
        <f>IF(매핑v2!H50="○","○","X")</f>
        <v>○</v>
      </c>
      <c r="AM53">
        <f>IF(매핑v2!H50="○",AH53,"")</f>
        <v>12500</v>
      </c>
      <c r="AN53" t="str">
        <f>IF(매핑v2!H50="○","○","X")</f>
        <v>○</v>
      </c>
      <c r="AO53">
        <f>IF(매핑v2!I50="○",P53,"")</f>
        <v>6666.666666666667</v>
      </c>
      <c r="AP53" t="str">
        <f>IF(매핑v2!I50="○","○","X")</f>
        <v>○</v>
      </c>
      <c r="AQ53">
        <f>IF(매핑v2!I50="○",Y53,"")</f>
        <v>83333.333333333328</v>
      </c>
      <c r="AR53" t="str">
        <f>IF(매핑v2!I50="○","○","X")</f>
        <v>○</v>
      </c>
      <c r="AS53">
        <f>IF(매핑v2!I50="○",AH53,"")</f>
        <v>12500</v>
      </c>
      <c r="AT53" t="str">
        <f>IF(매핑v2!I50="○","○","X")</f>
        <v>○</v>
      </c>
      <c r="AU53">
        <f>IF(매핑v2!J50="○",P53,"")</f>
        <v>6666.666666666667</v>
      </c>
      <c r="AV53" t="str">
        <f>IF(매핑v2!J50="○","○","X")</f>
        <v>○</v>
      </c>
      <c r="AW53">
        <f>IF(매핑v2!J50="○",Y53,"")</f>
        <v>83333.333333333328</v>
      </c>
      <c r="AX53" t="str">
        <f>IF(매핑v2!J50="○","○","X")</f>
        <v>○</v>
      </c>
      <c r="AY53">
        <f>IF(매핑v2!J50="○",AH53,"")</f>
        <v>12500</v>
      </c>
      <c r="AZ53" t="str">
        <f>IF(매핑v2!J50="○","○","X")</f>
        <v>○</v>
      </c>
      <c r="BA53">
        <f>IF(매핑v2!K50="○",P53,"")</f>
        <v>6666.666666666667</v>
      </c>
      <c r="BB53" t="str">
        <f>IF(매핑v2!K50="○","○","X")</f>
        <v>○</v>
      </c>
      <c r="BC53">
        <f>IF(매핑v2!K50="○",Y53,"")</f>
        <v>83333.333333333328</v>
      </c>
      <c r="BD53" t="str">
        <f>IF(매핑v2!K50="○","○","X")</f>
        <v>○</v>
      </c>
      <c r="BE53">
        <f>IF(매핑v2!K50="○",AH53,"")</f>
        <v>12500</v>
      </c>
      <c r="BF53" t="str">
        <f>IF(매핑v2!K50="○","○","X")</f>
        <v>○</v>
      </c>
      <c r="BG53" t="str">
        <f>IF(매핑v2!L50="○",P53,"")</f>
        <v/>
      </c>
      <c r="BH53" t="str">
        <f>IF(매핑v2!L50="○","○","X")</f>
        <v>X</v>
      </c>
      <c r="BI53" t="str">
        <f>IF(매핑v2!L50="○",Y53,"")</f>
        <v/>
      </c>
      <c r="BJ53" t="s">
        <v>977</v>
      </c>
      <c r="BK53" t="s">
        <v>1102</v>
      </c>
      <c r="BL53" t="s">
        <v>977</v>
      </c>
      <c r="BM53" t="s">
        <v>977</v>
      </c>
      <c r="BN53" t="s">
        <v>977</v>
      </c>
      <c r="BO53" t="s">
        <v>1102</v>
      </c>
    </row>
    <row r="54" spans="1:67" x14ac:dyDescent="0.3">
      <c r="A54">
        <v>53</v>
      </c>
      <c r="B54" t="s">
        <v>186</v>
      </c>
      <c r="C54" t="s">
        <v>679</v>
      </c>
      <c r="D54" t="s">
        <v>36</v>
      </c>
      <c r="E54" t="s">
        <v>680</v>
      </c>
      <c r="F54" t="s">
        <v>272</v>
      </c>
      <c r="G54" t="s">
        <v>450</v>
      </c>
      <c r="H54">
        <v>2</v>
      </c>
      <c r="P54" t="str">
        <f t="shared" si="6"/>
        <v/>
      </c>
      <c r="Q54">
        <v>2</v>
      </c>
      <c r="T54">
        <v>1</v>
      </c>
      <c r="U54">
        <v>1</v>
      </c>
      <c r="V54">
        <v>30000</v>
      </c>
      <c r="Y54">
        <f t="shared" si="1"/>
        <v>30000</v>
      </c>
      <c r="Z54">
        <v>2</v>
      </c>
      <c r="AC54">
        <v>1</v>
      </c>
      <c r="AD54">
        <v>1</v>
      </c>
      <c r="AE54">
        <v>5000</v>
      </c>
      <c r="AH54">
        <f t="shared" si="2"/>
        <v>5000</v>
      </c>
      <c r="AI54" t="str">
        <f>IF(매핑v2!H51="○",P54,"")</f>
        <v/>
      </c>
      <c r="AJ54" t="str">
        <f>IF(매핑v2!H51="○","○","X")</f>
        <v>○</v>
      </c>
      <c r="AK54">
        <f>IF(매핑v2!H51="○",Y54,"")</f>
        <v>30000</v>
      </c>
      <c r="AL54" t="str">
        <f>IF(매핑v2!H51="○","○","X")</f>
        <v>○</v>
      </c>
      <c r="AM54">
        <f>IF(매핑v2!H51="○",AH54,"")</f>
        <v>5000</v>
      </c>
      <c r="AN54" t="str">
        <f>IF(매핑v2!H51="○","○","X")</f>
        <v>○</v>
      </c>
      <c r="AO54" t="str">
        <f>IF(매핑v2!I51="○",P54,"")</f>
        <v/>
      </c>
      <c r="AP54" t="str">
        <f>IF(매핑v2!I51="○","○","X")</f>
        <v>X</v>
      </c>
      <c r="AQ54" t="str">
        <f>IF(매핑v2!I51="○",Y54,"")</f>
        <v/>
      </c>
      <c r="AR54" t="str">
        <f>IF(매핑v2!I51="○","○","X")</f>
        <v>X</v>
      </c>
      <c r="AS54" t="str">
        <f>IF(매핑v2!I51="○",AH54,"")</f>
        <v/>
      </c>
      <c r="AT54" t="str">
        <f>IF(매핑v2!I51="○","○","X")</f>
        <v>X</v>
      </c>
      <c r="AU54" t="str">
        <f>IF(매핑v2!J51="○",P54,"")</f>
        <v/>
      </c>
      <c r="AV54" t="str">
        <f>IF(매핑v2!J51="○","○","X")</f>
        <v>X</v>
      </c>
      <c r="AW54" t="str">
        <f>IF(매핑v2!J51="○",Y54,"")</f>
        <v/>
      </c>
      <c r="AX54" t="str">
        <f>IF(매핑v2!J51="○","○","X")</f>
        <v>X</v>
      </c>
      <c r="AY54" t="str">
        <f>IF(매핑v2!J51="○",AH54,"")</f>
        <v/>
      </c>
      <c r="AZ54" t="str">
        <f>IF(매핑v2!J51="○","○","X")</f>
        <v>X</v>
      </c>
      <c r="BA54" t="str">
        <f>IF(매핑v2!K51="○",P54,"")</f>
        <v/>
      </c>
      <c r="BB54" t="str">
        <f>IF(매핑v2!K51="○","○","X")</f>
        <v>X</v>
      </c>
      <c r="BC54" t="str">
        <f>IF(매핑v2!K51="○",Y54,"")</f>
        <v/>
      </c>
      <c r="BD54" t="str">
        <f>IF(매핑v2!K51="○","○","X")</f>
        <v>X</v>
      </c>
      <c r="BE54" t="str">
        <f>IF(매핑v2!K51="○",AH54,"")</f>
        <v/>
      </c>
      <c r="BF54" t="str">
        <f>IF(매핑v2!K51="○","○","X")</f>
        <v>X</v>
      </c>
      <c r="BG54" t="str">
        <f>IF(매핑v2!L51="○",P54,"")</f>
        <v/>
      </c>
      <c r="BH54" t="str">
        <f>IF(매핑v2!L51="○","○","X")</f>
        <v>X</v>
      </c>
      <c r="BI54" t="str">
        <f>IF(매핑v2!L51="○",Y54,"")</f>
        <v/>
      </c>
      <c r="BJ54" t="s">
        <v>977</v>
      </c>
      <c r="BK54" t="s">
        <v>1102</v>
      </c>
      <c r="BL54" t="s">
        <v>977</v>
      </c>
      <c r="BM54" t="s">
        <v>977</v>
      </c>
      <c r="BN54" t="s">
        <v>1102</v>
      </c>
      <c r="BO54" t="s">
        <v>1102</v>
      </c>
    </row>
    <row r="55" spans="1:67" x14ac:dyDescent="0.3">
      <c r="A55">
        <v>54</v>
      </c>
      <c r="B55" t="s">
        <v>186</v>
      </c>
      <c r="C55" t="s">
        <v>681</v>
      </c>
      <c r="D55" t="s">
        <v>63</v>
      </c>
      <c r="E55" t="s">
        <v>682</v>
      </c>
      <c r="F55" t="s">
        <v>287</v>
      </c>
      <c r="G55" t="s">
        <v>490</v>
      </c>
      <c r="H55">
        <v>1</v>
      </c>
      <c r="I55">
        <v>60000</v>
      </c>
      <c r="J55">
        <v>5</v>
      </c>
      <c r="P55">
        <f t="shared" si="6"/>
        <v>1000</v>
      </c>
      <c r="Q55">
        <v>1</v>
      </c>
      <c r="R55">
        <v>200000</v>
      </c>
      <c r="S55">
        <v>1</v>
      </c>
      <c r="Y55">
        <f t="shared" si="1"/>
        <v>16666.666666666668</v>
      </c>
      <c r="Z55">
        <v>1</v>
      </c>
      <c r="AH55" t="str">
        <f t="shared" si="2"/>
        <v/>
      </c>
      <c r="AI55">
        <f>IF(매핑v2!H52="○",P55,"")</f>
        <v>1000</v>
      </c>
      <c r="AJ55" t="str">
        <f>IF(매핑v2!H52="○","○","X")</f>
        <v>○</v>
      </c>
      <c r="AK55">
        <f>IF(매핑v2!H52="○",Y55,"")</f>
        <v>16666.666666666668</v>
      </c>
      <c r="AL55" t="str">
        <f>IF(매핑v2!H52="○","○","X")</f>
        <v>○</v>
      </c>
      <c r="AM55" t="str">
        <f>IF(매핑v2!H52="○",AH55,"")</f>
        <v/>
      </c>
      <c r="AN55" t="str">
        <f>IF(매핑v2!H52="○","○","X")</f>
        <v>○</v>
      </c>
      <c r="AO55">
        <f>IF(매핑v2!I52="○",P55,"")</f>
        <v>1000</v>
      </c>
      <c r="AP55" t="str">
        <f>IF(매핑v2!I52="○","○","X")</f>
        <v>○</v>
      </c>
      <c r="AQ55">
        <f>IF(매핑v2!I52="○",Y55,"")</f>
        <v>16666.666666666668</v>
      </c>
      <c r="AR55" t="str">
        <f>IF(매핑v2!I52="○","○","X")</f>
        <v>○</v>
      </c>
      <c r="AS55" t="str">
        <f>IF(매핑v2!I52="○",AH55,"")</f>
        <v/>
      </c>
      <c r="AT55" t="str">
        <f>IF(매핑v2!I52="○","○","X")</f>
        <v>○</v>
      </c>
      <c r="AU55">
        <f>IF(매핑v2!J52="○",P55,"")</f>
        <v>1000</v>
      </c>
      <c r="AV55" t="str">
        <f>IF(매핑v2!J52="○","○","X")</f>
        <v>○</v>
      </c>
      <c r="AW55">
        <f>IF(매핑v2!J52="○",Y55,"")</f>
        <v>16666.666666666668</v>
      </c>
      <c r="AX55" t="str">
        <f>IF(매핑v2!J52="○","○","X")</f>
        <v>○</v>
      </c>
      <c r="AY55" t="str">
        <f>IF(매핑v2!J52="○",AH55,"")</f>
        <v/>
      </c>
      <c r="AZ55" t="str">
        <f>IF(매핑v2!J52="○","○","X")</f>
        <v>○</v>
      </c>
      <c r="BA55">
        <f>IF(매핑v2!K52="○",P55,"")</f>
        <v>1000</v>
      </c>
      <c r="BB55" t="str">
        <f>IF(매핑v2!K52="○","○","X")</f>
        <v>○</v>
      </c>
      <c r="BC55">
        <f>IF(매핑v2!K52="○",Y55,"")</f>
        <v>16666.666666666668</v>
      </c>
      <c r="BD55" t="str">
        <f>IF(매핑v2!K52="○","○","X")</f>
        <v>○</v>
      </c>
      <c r="BE55" t="str">
        <f>IF(매핑v2!K52="○",AH55,"")</f>
        <v/>
      </c>
      <c r="BF55" t="str">
        <f>IF(매핑v2!K52="○","○","X")</f>
        <v>○</v>
      </c>
      <c r="BG55" t="str">
        <f>IF(매핑v2!L52="○",P55,"")</f>
        <v/>
      </c>
      <c r="BH55" t="str">
        <f>IF(매핑v2!L52="○","○","X")</f>
        <v>X</v>
      </c>
      <c r="BI55" t="str">
        <f>IF(매핑v2!L52="○",Y55,"")</f>
        <v/>
      </c>
      <c r="BJ55" t="s">
        <v>977</v>
      </c>
      <c r="BK55" t="s">
        <v>1102</v>
      </c>
      <c r="BL55" t="s">
        <v>977</v>
      </c>
      <c r="BM55" t="s">
        <v>977</v>
      </c>
      <c r="BN55" t="s">
        <v>977</v>
      </c>
      <c r="BO55" t="s">
        <v>1102</v>
      </c>
    </row>
    <row r="56" spans="1:67" x14ac:dyDescent="0.3">
      <c r="A56">
        <v>55</v>
      </c>
      <c r="B56" t="s">
        <v>186</v>
      </c>
      <c r="C56" t="s">
        <v>683</v>
      </c>
      <c r="D56" t="s">
        <v>63</v>
      </c>
      <c r="E56" t="s">
        <v>684</v>
      </c>
      <c r="F56" t="s">
        <v>497</v>
      </c>
      <c r="G56" t="s">
        <v>498</v>
      </c>
      <c r="H56">
        <v>1</v>
      </c>
      <c r="I56">
        <v>600000</v>
      </c>
      <c r="J56">
        <v>7</v>
      </c>
      <c r="P56">
        <f t="shared" si="6"/>
        <v>7142.8571428571422</v>
      </c>
      <c r="Q56">
        <v>1</v>
      </c>
      <c r="R56">
        <v>1200000</v>
      </c>
      <c r="S56">
        <v>2</v>
      </c>
      <c r="Y56">
        <f t="shared" si="1"/>
        <v>50000</v>
      </c>
      <c r="Z56">
        <v>1</v>
      </c>
      <c r="AA56">
        <v>30000</v>
      </c>
      <c r="AB56">
        <v>0.5</v>
      </c>
      <c r="AH56">
        <f t="shared" si="2"/>
        <v>5000</v>
      </c>
      <c r="AI56">
        <f>IF(매핑v2!H53="○",P56,"")</f>
        <v>7142.8571428571422</v>
      </c>
      <c r="AJ56" t="str">
        <f>IF(매핑v2!H53="○","○","X")</f>
        <v>○</v>
      </c>
      <c r="AK56">
        <f>IF(매핑v2!H53="○",Y56,"")</f>
        <v>50000</v>
      </c>
      <c r="AL56" t="str">
        <f>IF(매핑v2!H53="○","○","X")</f>
        <v>○</v>
      </c>
      <c r="AM56">
        <f>IF(매핑v2!H53="○",AH56,"")</f>
        <v>5000</v>
      </c>
      <c r="AN56" t="str">
        <f>IF(매핑v2!H53="○","○","X")</f>
        <v>○</v>
      </c>
      <c r="AO56">
        <f>IF(매핑v2!I53="○",P56,"")</f>
        <v>7142.8571428571422</v>
      </c>
      <c r="AP56" t="str">
        <f>IF(매핑v2!I53="○","○","X")</f>
        <v>○</v>
      </c>
      <c r="AQ56">
        <f>IF(매핑v2!I53="○",Y56,"")</f>
        <v>50000</v>
      </c>
      <c r="AR56" t="str">
        <f>IF(매핑v2!I53="○","○","X")</f>
        <v>○</v>
      </c>
      <c r="AS56">
        <f>IF(매핑v2!I53="○",AH56,"")</f>
        <v>5000</v>
      </c>
      <c r="AT56" t="str">
        <f>IF(매핑v2!I53="○","○","X")</f>
        <v>○</v>
      </c>
      <c r="AU56">
        <f>IF(매핑v2!J53="○",P56,"")</f>
        <v>7142.8571428571422</v>
      </c>
      <c r="AV56" t="str">
        <f>IF(매핑v2!J53="○","○","X")</f>
        <v>○</v>
      </c>
      <c r="AW56">
        <f>IF(매핑v2!J53="○",Y56,"")</f>
        <v>50000</v>
      </c>
      <c r="AX56" t="str">
        <f>IF(매핑v2!J53="○","○","X")</f>
        <v>○</v>
      </c>
      <c r="AY56">
        <f>IF(매핑v2!J53="○",AH56,"")</f>
        <v>5000</v>
      </c>
      <c r="AZ56" t="str">
        <f>IF(매핑v2!J53="○","○","X")</f>
        <v>○</v>
      </c>
      <c r="BA56">
        <f>IF(매핑v2!K53="○",P56,"")</f>
        <v>7142.8571428571422</v>
      </c>
      <c r="BB56" t="str">
        <f>IF(매핑v2!K53="○","○","X")</f>
        <v>○</v>
      </c>
      <c r="BC56">
        <f>IF(매핑v2!K53="○",Y56,"")</f>
        <v>50000</v>
      </c>
      <c r="BD56" t="str">
        <f>IF(매핑v2!K53="○","○","X")</f>
        <v>○</v>
      </c>
      <c r="BE56">
        <f>IF(매핑v2!K53="○",AH56,"")</f>
        <v>5000</v>
      </c>
      <c r="BF56" t="str">
        <f>IF(매핑v2!K53="○","○","X")</f>
        <v>○</v>
      </c>
      <c r="BG56">
        <f>IF(매핑v2!L53="○",P56,"")</f>
        <v>7142.8571428571422</v>
      </c>
      <c r="BH56" t="str">
        <f>IF(매핑v2!L53="○","○","X")</f>
        <v>○</v>
      </c>
      <c r="BI56">
        <f>IF(매핑v2!L53="○",Y56,"")</f>
        <v>50000</v>
      </c>
      <c r="BJ56" t="s">
        <v>977</v>
      </c>
      <c r="BK56" t="s">
        <v>1102</v>
      </c>
      <c r="BL56" t="s">
        <v>977</v>
      </c>
      <c r="BM56" t="s">
        <v>977</v>
      </c>
      <c r="BN56" t="s">
        <v>977</v>
      </c>
      <c r="BO56" t="s">
        <v>1102</v>
      </c>
    </row>
    <row r="57" spans="1:67" x14ac:dyDescent="0.3">
      <c r="A57">
        <v>56</v>
      </c>
      <c r="B57" t="s">
        <v>186</v>
      </c>
      <c r="C57" t="s">
        <v>685</v>
      </c>
      <c r="D57" t="s">
        <v>63</v>
      </c>
      <c r="E57" t="s">
        <v>686</v>
      </c>
      <c r="F57" t="s">
        <v>499</v>
      </c>
      <c r="G57" t="s">
        <v>500</v>
      </c>
      <c r="H57">
        <v>1</v>
      </c>
      <c r="I57">
        <v>500000</v>
      </c>
      <c r="J57">
        <v>5</v>
      </c>
      <c r="P57">
        <f t="shared" si="6"/>
        <v>8333.3333333333339</v>
      </c>
      <c r="Q57">
        <v>1</v>
      </c>
      <c r="R57">
        <v>2500000</v>
      </c>
      <c r="S57">
        <v>5</v>
      </c>
      <c r="Y57">
        <f t="shared" si="1"/>
        <v>41666.666666666664</v>
      </c>
      <c r="Z57">
        <v>1</v>
      </c>
      <c r="AA57">
        <v>120000</v>
      </c>
      <c r="AB57">
        <v>0.5</v>
      </c>
      <c r="AH57">
        <f t="shared" si="2"/>
        <v>20000</v>
      </c>
      <c r="AI57">
        <f>IF(매핑v2!H54="○",P57,"")</f>
        <v>8333.3333333333339</v>
      </c>
      <c r="AJ57" t="str">
        <f>IF(매핑v2!H54="○","○","X")</f>
        <v>○</v>
      </c>
      <c r="AK57">
        <f>IF(매핑v2!H54="○",Y57,"")</f>
        <v>41666.666666666664</v>
      </c>
      <c r="AL57" t="str">
        <f>IF(매핑v2!H54="○","○","X")</f>
        <v>○</v>
      </c>
      <c r="AM57">
        <f>IF(매핑v2!H54="○",AH57,"")</f>
        <v>20000</v>
      </c>
      <c r="AN57" t="str">
        <f>IF(매핑v2!H54="○","○","X")</f>
        <v>○</v>
      </c>
      <c r="AO57">
        <f>IF(매핑v2!I54="○",P57,"")</f>
        <v>8333.3333333333339</v>
      </c>
      <c r="AP57" t="str">
        <f>IF(매핑v2!I54="○","○","X")</f>
        <v>○</v>
      </c>
      <c r="AQ57">
        <f>IF(매핑v2!I54="○",Y57,"")</f>
        <v>41666.666666666664</v>
      </c>
      <c r="AR57" t="str">
        <f>IF(매핑v2!I54="○","○","X")</f>
        <v>○</v>
      </c>
      <c r="AS57">
        <f>IF(매핑v2!I54="○",AH57,"")</f>
        <v>20000</v>
      </c>
      <c r="AT57" t="str">
        <f>IF(매핑v2!I54="○","○","X")</f>
        <v>○</v>
      </c>
      <c r="AU57">
        <f>IF(매핑v2!J54="○",P57,"")</f>
        <v>8333.3333333333339</v>
      </c>
      <c r="AV57" t="str">
        <f>IF(매핑v2!J54="○","○","X")</f>
        <v>○</v>
      </c>
      <c r="AW57">
        <f>IF(매핑v2!J54="○",Y57,"")</f>
        <v>41666.666666666664</v>
      </c>
      <c r="AX57" t="str">
        <f>IF(매핑v2!J54="○","○","X")</f>
        <v>○</v>
      </c>
      <c r="AY57">
        <f>IF(매핑v2!J54="○",AH57,"")</f>
        <v>20000</v>
      </c>
      <c r="AZ57" t="str">
        <f>IF(매핑v2!J54="○","○","X")</f>
        <v>○</v>
      </c>
      <c r="BA57">
        <f>IF(매핑v2!K54="○",P57,"")</f>
        <v>8333.3333333333339</v>
      </c>
      <c r="BB57" t="str">
        <f>IF(매핑v2!K54="○","○","X")</f>
        <v>○</v>
      </c>
      <c r="BC57">
        <f>IF(매핑v2!K54="○",Y57,"")</f>
        <v>41666.666666666664</v>
      </c>
      <c r="BD57" t="str">
        <f>IF(매핑v2!K54="○","○","X")</f>
        <v>○</v>
      </c>
      <c r="BE57">
        <f>IF(매핑v2!K54="○",AH57,"")</f>
        <v>20000</v>
      </c>
      <c r="BF57" t="str">
        <f>IF(매핑v2!K54="○","○","X")</f>
        <v>○</v>
      </c>
      <c r="BG57">
        <f>IF(매핑v2!L54="○",P57,"")</f>
        <v>8333.3333333333339</v>
      </c>
      <c r="BH57" t="str">
        <f>IF(매핑v2!L54="○","○","X")</f>
        <v>○</v>
      </c>
      <c r="BI57">
        <f>IF(매핑v2!L54="○",Y57,"")</f>
        <v>41666.666666666664</v>
      </c>
      <c r="BJ57" t="s">
        <v>977</v>
      </c>
      <c r="BK57" t="s">
        <v>1102</v>
      </c>
      <c r="BL57" t="s">
        <v>977</v>
      </c>
      <c r="BM57" t="s">
        <v>977</v>
      </c>
      <c r="BN57" t="s">
        <v>977</v>
      </c>
      <c r="BO57" t="s">
        <v>1102</v>
      </c>
    </row>
    <row r="58" spans="1:67" x14ac:dyDescent="0.3">
      <c r="A58">
        <v>57</v>
      </c>
      <c r="B58" t="s">
        <v>186</v>
      </c>
      <c r="C58" t="s">
        <v>687</v>
      </c>
      <c r="D58" t="s">
        <v>63</v>
      </c>
      <c r="E58" t="s">
        <v>762</v>
      </c>
      <c r="F58" t="s">
        <v>505</v>
      </c>
      <c r="G58" t="s">
        <v>506</v>
      </c>
      <c r="H58">
        <v>1</v>
      </c>
      <c r="I58">
        <v>3600000</v>
      </c>
      <c r="J58">
        <v>10</v>
      </c>
      <c r="P58">
        <f t="shared" si="6"/>
        <v>30000</v>
      </c>
      <c r="Q58">
        <v>1</v>
      </c>
      <c r="Y58" t="str">
        <f t="shared" si="1"/>
        <v/>
      </c>
      <c r="Z58">
        <v>1</v>
      </c>
      <c r="AA58">
        <v>1000000</v>
      </c>
      <c r="AB58">
        <v>2</v>
      </c>
      <c r="AH58">
        <f t="shared" si="2"/>
        <v>41666.666666666664</v>
      </c>
      <c r="AI58">
        <f>IF(매핑v2!H55="○",P58,"")</f>
        <v>30000</v>
      </c>
      <c r="AJ58" t="str">
        <f>IF(매핑v2!H55="○","○","X")</f>
        <v>○</v>
      </c>
      <c r="AK58" t="str">
        <f>IF(매핑v2!H55="○",Y58,"")</f>
        <v/>
      </c>
      <c r="AL58" t="str">
        <f>IF(매핑v2!H55="○","○","X")</f>
        <v>○</v>
      </c>
      <c r="AM58">
        <f>IF(매핑v2!H55="○",AH58,"")</f>
        <v>41666.666666666664</v>
      </c>
      <c r="AN58" t="str">
        <f>IF(매핑v2!H55="○","○","X")</f>
        <v>○</v>
      </c>
      <c r="AO58">
        <f>IF(매핑v2!I55="○",P58,"")</f>
        <v>30000</v>
      </c>
      <c r="AP58" t="str">
        <f>IF(매핑v2!I55="○","○","X")</f>
        <v>○</v>
      </c>
      <c r="AQ58" t="str">
        <f>IF(매핑v2!I55="○",Y58,"")</f>
        <v/>
      </c>
      <c r="AR58" t="str">
        <f>IF(매핑v2!I55="○","○","X")</f>
        <v>○</v>
      </c>
      <c r="AS58">
        <f>IF(매핑v2!I55="○",AH58,"")</f>
        <v>41666.666666666664</v>
      </c>
      <c r="AT58" t="str">
        <f>IF(매핑v2!I55="○","○","X")</f>
        <v>○</v>
      </c>
      <c r="AU58">
        <f>IF(매핑v2!J55="○",P58,"")</f>
        <v>30000</v>
      </c>
      <c r="AV58" t="str">
        <f>IF(매핑v2!J55="○","○","X")</f>
        <v>○</v>
      </c>
      <c r="AW58" t="str">
        <f>IF(매핑v2!J55="○",Y58,"")</f>
        <v/>
      </c>
      <c r="AX58" t="str">
        <f>IF(매핑v2!J55="○","○","X")</f>
        <v>○</v>
      </c>
      <c r="AY58">
        <f>IF(매핑v2!J55="○",AH58,"")</f>
        <v>41666.666666666664</v>
      </c>
      <c r="AZ58" t="str">
        <f>IF(매핑v2!J55="○","○","X")</f>
        <v>○</v>
      </c>
      <c r="BA58">
        <f>IF(매핑v2!K55="○",P58,"")</f>
        <v>30000</v>
      </c>
      <c r="BB58" t="str">
        <f>IF(매핑v2!K55="○","○","X")</f>
        <v>○</v>
      </c>
      <c r="BC58" t="str">
        <f>IF(매핑v2!K55="○",Y58,"")</f>
        <v/>
      </c>
      <c r="BD58" t="str">
        <f>IF(매핑v2!K55="○","○","X")</f>
        <v>○</v>
      </c>
      <c r="BE58">
        <f>IF(매핑v2!K55="○",AH58,"")</f>
        <v>41666.666666666664</v>
      </c>
      <c r="BF58" t="str">
        <f>IF(매핑v2!K55="○","○","X")</f>
        <v>○</v>
      </c>
      <c r="BG58" t="str">
        <f>IF(매핑v2!L55="○",P58,"")</f>
        <v/>
      </c>
      <c r="BH58" t="str">
        <f>IF(매핑v2!L55="○","○","X")</f>
        <v>X</v>
      </c>
      <c r="BI58" t="str">
        <f>IF(매핑v2!L55="○",Y58,"")</f>
        <v/>
      </c>
      <c r="BJ58" t="s">
        <v>1102</v>
      </c>
      <c r="BL58" t="s">
        <v>1102</v>
      </c>
      <c r="BM58" t="s">
        <v>977</v>
      </c>
      <c r="BN58" t="s">
        <v>1102</v>
      </c>
      <c r="BO58" t="s">
        <v>1102</v>
      </c>
    </row>
    <row r="59" spans="1:67" x14ac:dyDescent="0.3">
      <c r="A59">
        <v>58</v>
      </c>
      <c r="B59" t="s">
        <v>186</v>
      </c>
      <c r="C59" t="s">
        <v>689</v>
      </c>
      <c r="D59" t="s">
        <v>130</v>
      </c>
      <c r="E59" t="s">
        <v>763</v>
      </c>
      <c r="F59" t="s">
        <v>959</v>
      </c>
      <c r="G59" t="s">
        <v>530</v>
      </c>
      <c r="H59">
        <v>2</v>
      </c>
      <c r="P59" t="str">
        <f t="shared" si="6"/>
        <v/>
      </c>
      <c r="Q59">
        <v>1</v>
      </c>
      <c r="Y59" t="str">
        <f t="shared" si="1"/>
        <v/>
      </c>
      <c r="Z59">
        <v>1</v>
      </c>
      <c r="AA59">
        <v>30000</v>
      </c>
      <c r="AB59">
        <v>0.5</v>
      </c>
      <c r="AH59">
        <f t="shared" si="2"/>
        <v>5000</v>
      </c>
      <c r="AI59" t="str">
        <f>IF(매핑v2!H56="○",P59,"")</f>
        <v/>
      </c>
      <c r="AJ59" t="str">
        <f>IF(매핑v2!H56="○","○","X")</f>
        <v>○</v>
      </c>
      <c r="AK59" t="str">
        <f>IF(매핑v2!H56="○",Y59,"")</f>
        <v/>
      </c>
      <c r="AL59" t="str">
        <f>IF(매핑v2!H56="○","○","X")</f>
        <v>○</v>
      </c>
      <c r="AM59">
        <f>IF(매핑v2!H56="○",AH59,"")</f>
        <v>5000</v>
      </c>
      <c r="AN59" t="str">
        <f>IF(매핑v2!H56="○","○","X")</f>
        <v>○</v>
      </c>
      <c r="AO59" t="str">
        <f>IF(매핑v2!I56="○",P59,"")</f>
        <v/>
      </c>
      <c r="AP59" t="str">
        <f>IF(매핑v2!I56="○","○","X")</f>
        <v>○</v>
      </c>
      <c r="AQ59" t="str">
        <f>IF(매핑v2!I56="○",Y59,"")</f>
        <v/>
      </c>
      <c r="AR59" t="str">
        <f>IF(매핑v2!I56="○","○","X")</f>
        <v>○</v>
      </c>
      <c r="AS59">
        <f>IF(매핑v2!I56="○",AH59,"")</f>
        <v>5000</v>
      </c>
      <c r="AT59" t="str">
        <f>IF(매핑v2!I56="○","○","X")</f>
        <v>○</v>
      </c>
      <c r="AU59" t="str">
        <f>IF(매핑v2!J56="○",P59,"")</f>
        <v/>
      </c>
      <c r="AV59" t="str">
        <f>IF(매핑v2!J56="○","○","X")</f>
        <v>○</v>
      </c>
      <c r="AW59" t="str">
        <f>IF(매핑v2!J56="○",Y59,"")</f>
        <v/>
      </c>
      <c r="AX59" t="str">
        <f>IF(매핑v2!J56="○","○","X")</f>
        <v>○</v>
      </c>
      <c r="AY59">
        <f>IF(매핑v2!J56="○",AH59,"")</f>
        <v>5000</v>
      </c>
      <c r="AZ59" t="str">
        <f>IF(매핑v2!J56="○","○","X")</f>
        <v>○</v>
      </c>
      <c r="BA59" t="str">
        <f>IF(매핑v2!K56="○",P59,"")</f>
        <v/>
      </c>
      <c r="BB59" t="str">
        <f>IF(매핑v2!K56="○","○","X")</f>
        <v>○</v>
      </c>
      <c r="BC59" t="str">
        <f>IF(매핑v2!K56="○",Y59,"")</f>
        <v/>
      </c>
      <c r="BD59" t="str">
        <f>IF(매핑v2!K56="○","○","X")</f>
        <v>○</v>
      </c>
      <c r="BE59">
        <f>IF(매핑v2!K56="○",AH59,"")</f>
        <v>5000</v>
      </c>
      <c r="BF59" t="str">
        <f>IF(매핑v2!K56="○","○","X")</f>
        <v>○</v>
      </c>
      <c r="BG59" t="str">
        <f>IF(매핑v2!L56="○",P59,"")</f>
        <v/>
      </c>
      <c r="BH59" t="str">
        <f>IF(매핑v2!L56="○","○","X")</f>
        <v>○</v>
      </c>
      <c r="BI59" t="str">
        <f>IF(매핑v2!L56="○",Y59,"")</f>
        <v/>
      </c>
      <c r="BJ59" t="s">
        <v>977</v>
      </c>
      <c r="BK59" t="s">
        <v>1102</v>
      </c>
      <c r="BL59" t="s">
        <v>1102</v>
      </c>
      <c r="BM59" t="s">
        <v>977</v>
      </c>
      <c r="BN59" t="s">
        <v>1102</v>
      </c>
      <c r="BO59" t="s">
        <v>1102</v>
      </c>
    </row>
    <row r="60" spans="1:67" x14ac:dyDescent="0.3">
      <c r="A60">
        <v>59</v>
      </c>
      <c r="B60" t="s">
        <v>186</v>
      </c>
      <c r="C60" t="s">
        <v>690</v>
      </c>
      <c r="D60" t="s">
        <v>20</v>
      </c>
      <c r="E60" t="s">
        <v>765</v>
      </c>
      <c r="F60" t="s">
        <v>928</v>
      </c>
      <c r="G60" t="s">
        <v>966</v>
      </c>
      <c r="H60">
        <v>2</v>
      </c>
      <c r="K60">
        <v>1</v>
      </c>
      <c r="L60">
        <v>1</v>
      </c>
      <c r="M60">
        <v>15000</v>
      </c>
      <c r="P60">
        <f t="shared" si="6"/>
        <v>15000</v>
      </c>
      <c r="Q60">
        <v>2</v>
      </c>
      <c r="T60">
        <v>1</v>
      </c>
      <c r="U60">
        <v>4</v>
      </c>
      <c r="V60">
        <v>12000</v>
      </c>
      <c r="Y60">
        <f t="shared" si="1"/>
        <v>48000</v>
      </c>
      <c r="Z60">
        <v>2</v>
      </c>
      <c r="AH60" t="str">
        <f t="shared" si="2"/>
        <v/>
      </c>
      <c r="AI60">
        <f>IF(매핑v2!H57="○",P60,"")</f>
        <v>15000</v>
      </c>
      <c r="AJ60" t="str">
        <f>IF(매핑v2!H57="○","○","X")</f>
        <v>○</v>
      </c>
      <c r="AK60">
        <f>IF(매핑v2!H57="○",Y60,"")</f>
        <v>48000</v>
      </c>
      <c r="AL60" t="str">
        <f>IF(매핑v2!H57="○","○","X")</f>
        <v>○</v>
      </c>
      <c r="AM60" t="str">
        <f>IF(매핑v2!H57="○",AH60,"")</f>
        <v/>
      </c>
      <c r="AN60" t="str">
        <f>IF(매핑v2!H57="○","○","X")</f>
        <v>○</v>
      </c>
      <c r="AO60">
        <f>IF(매핑v2!I57="○",P60,"")</f>
        <v>15000</v>
      </c>
      <c r="AP60" t="str">
        <f>IF(매핑v2!I57="○","○","X")</f>
        <v>○</v>
      </c>
      <c r="AQ60">
        <f>IF(매핑v2!I57="○",Y60,"")</f>
        <v>48000</v>
      </c>
      <c r="AR60" t="str">
        <f>IF(매핑v2!I57="○","○","X")</f>
        <v>○</v>
      </c>
      <c r="AS60" t="str">
        <f>IF(매핑v2!I57="○",AH60,"")</f>
        <v/>
      </c>
      <c r="AT60" t="str">
        <f>IF(매핑v2!I57="○","○","X")</f>
        <v>○</v>
      </c>
      <c r="AU60">
        <f>IF(매핑v2!J57="○",P60,"")</f>
        <v>15000</v>
      </c>
      <c r="AV60" t="str">
        <f>IF(매핑v2!J57="○","○","X")</f>
        <v>○</v>
      </c>
      <c r="AW60">
        <f>IF(매핑v2!J57="○",Y60,"")</f>
        <v>48000</v>
      </c>
      <c r="AX60" t="str">
        <f>IF(매핑v2!J57="○","○","X")</f>
        <v>○</v>
      </c>
      <c r="AY60" t="str">
        <f>IF(매핑v2!J57="○",AH60,"")</f>
        <v/>
      </c>
      <c r="AZ60" t="str">
        <f>IF(매핑v2!J57="○","○","X")</f>
        <v>○</v>
      </c>
      <c r="BA60">
        <f>IF(매핑v2!K57="○",P60,"")</f>
        <v>15000</v>
      </c>
      <c r="BB60" t="str">
        <f>IF(매핑v2!K57="○","○","X")</f>
        <v>○</v>
      </c>
      <c r="BC60">
        <f>IF(매핑v2!K57="○",Y60,"")</f>
        <v>48000</v>
      </c>
      <c r="BD60" t="str">
        <f>IF(매핑v2!K57="○","○","X")</f>
        <v>○</v>
      </c>
      <c r="BE60" t="str">
        <f>IF(매핑v2!K57="○",AH60,"")</f>
        <v/>
      </c>
      <c r="BF60" t="str">
        <f>IF(매핑v2!K57="○","○","X")</f>
        <v>○</v>
      </c>
      <c r="BG60">
        <f>IF(매핑v2!L57="○",P60,"")</f>
        <v>15000</v>
      </c>
      <c r="BH60" t="str">
        <f>IF(매핑v2!L57="○","○","X")</f>
        <v>○</v>
      </c>
      <c r="BI60">
        <f>IF(매핑v2!L57="○",Y60,"")</f>
        <v>48000</v>
      </c>
      <c r="BJ60" t="s">
        <v>977</v>
      </c>
      <c r="BK60" t="s">
        <v>1102</v>
      </c>
      <c r="BL60" t="s">
        <v>977</v>
      </c>
      <c r="BM60" t="s">
        <v>977</v>
      </c>
      <c r="BN60" t="s">
        <v>1102</v>
      </c>
      <c r="BO60" t="s">
        <v>1102</v>
      </c>
    </row>
    <row r="61" spans="1:67" x14ac:dyDescent="0.3">
      <c r="A61">
        <v>60</v>
      </c>
      <c r="B61" t="s">
        <v>34</v>
      </c>
      <c r="C61" t="s">
        <v>691</v>
      </c>
      <c r="D61" t="s">
        <v>11</v>
      </c>
      <c r="E61" t="s">
        <v>692</v>
      </c>
      <c r="F61" t="s">
        <v>960</v>
      </c>
      <c r="G61" t="s">
        <v>433</v>
      </c>
      <c r="H61">
        <v>2</v>
      </c>
      <c r="K61">
        <v>1</v>
      </c>
      <c r="L61">
        <v>0.25</v>
      </c>
      <c r="M61">
        <v>10000</v>
      </c>
      <c r="P61">
        <f t="shared" si="6"/>
        <v>2500</v>
      </c>
      <c r="Q61">
        <v>2</v>
      </c>
      <c r="T61">
        <v>1</v>
      </c>
      <c r="U61">
        <v>2</v>
      </c>
      <c r="V61">
        <v>4000</v>
      </c>
      <c r="Y61">
        <f t="shared" si="1"/>
        <v>8000</v>
      </c>
      <c r="Z61">
        <v>2</v>
      </c>
      <c r="AC61">
        <v>1</v>
      </c>
      <c r="AD61">
        <v>2</v>
      </c>
      <c r="AE61">
        <v>4000</v>
      </c>
      <c r="AH61">
        <f t="shared" si="2"/>
        <v>8000</v>
      </c>
      <c r="AI61">
        <f>IF(매핑v2!H58="○",P61,"")</f>
        <v>2500</v>
      </c>
      <c r="AJ61" t="str">
        <f>IF(매핑v2!H58="○","○","X")</f>
        <v>○</v>
      </c>
      <c r="AK61">
        <f>IF(매핑v2!H58="○",Y61,"")</f>
        <v>8000</v>
      </c>
      <c r="AL61" t="str">
        <f>IF(매핑v2!H58="○","○","X")</f>
        <v>○</v>
      </c>
      <c r="AM61">
        <f>IF(매핑v2!H58="○",AH61,"")</f>
        <v>8000</v>
      </c>
      <c r="AN61" t="str">
        <f>IF(매핑v2!H58="○","○","X")</f>
        <v>○</v>
      </c>
      <c r="AO61">
        <f>IF(매핑v2!I58="○",P61,"")</f>
        <v>2500</v>
      </c>
      <c r="AP61" t="str">
        <f>IF(매핑v2!I58="○","○","X")</f>
        <v>○</v>
      </c>
      <c r="AQ61">
        <f>IF(매핑v2!I58="○",Y61,"")</f>
        <v>8000</v>
      </c>
      <c r="AR61" t="str">
        <f>IF(매핑v2!I58="○","○","X")</f>
        <v>○</v>
      </c>
      <c r="AS61">
        <f>IF(매핑v2!I58="○",AH61,"")</f>
        <v>8000</v>
      </c>
      <c r="AT61" t="str">
        <f>IF(매핑v2!I58="○","○","X")</f>
        <v>○</v>
      </c>
      <c r="AU61">
        <f>IF(매핑v2!J58="○",P61,"")</f>
        <v>2500</v>
      </c>
      <c r="AV61" t="str">
        <f>IF(매핑v2!J58="○","○","X")</f>
        <v>○</v>
      </c>
      <c r="AW61">
        <f>IF(매핑v2!J58="○",Y61,"")</f>
        <v>8000</v>
      </c>
      <c r="AX61" t="str">
        <f>IF(매핑v2!J58="○","○","X")</f>
        <v>○</v>
      </c>
      <c r="AY61">
        <f>IF(매핑v2!J58="○",AH61,"")</f>
        <v>8000</v>
      </c>
      <c r="AZ61" t="str">
        <f>IF(매핑v2!J58="○","○","X")</f>
        <v>○</v>
      </c>
      <c r="BA61">
        <f>IF(매핑v2!K58="○",P61,"")</f>
        <v>2500</v>
      </c>
      <c r="BB61" t="str">
        <f>IF(매핑v2!K58="○","○","X")</f>
        <v>○</v>
      </c>
      <c r="BC61">
        <f>IF(매핑v2!K58="○",Y61,"")</f>
        <v>8000</v>
      </c>
      <c r="BD61" t="str">
        <f>IF(매핑v2!K58="○","○","X")</f>
        <v>○</v>
      </c>
      <c r="BE61">
        <f>IF(매핑v2!K58="○",AH61,"")</f>
        <v>8000</v>
      </c>
      <c r="BF61" t="str">
        <f>IF(매핑v2!K58="○","○","X")</f>
        <v>○</v>
      </c>
      <c r="BG61">
        <f>IF(매핑v2!L58="○",P61,"")</f>
        <v>2500</v>
      </c>
      <c r="BH61" t="str">
        <f>IF(매핑v2!L58="○","○","X")</f>
        <v>○</v>
      </c>
      <c r="BI61">
        <f>IF(매핑v2!L58="○",Y61,"")</f>
        <v>8000</v>
      </c>
      <c r="BJ61" t="s">
        <v>977</v>
      </c>
      <c r="BK61" t="s">
        <v>1102</v>
      </c>
      <c r="BL61" t="s">
        <v>1102</v>
      </c>
      <c r="BM61" t="s">
        <v>977</v>
      </c>
      <c r="BN61" t="s">
        <v>1102</v>
      </c>
      <c r="BO61" t="s">
        <v>1102</v>
      </c>
    </row>
    <row r="62" spans="1:67" x14ac:dyDescent="0.3">
      <c r="A62">
        <v>61</v>
      </c>
      <c r="B62" t="s">
        <v>34</v>
      </c>
      <c r="C62" t="s">
        <v>695</v>
      </c>
      <c r="D62" t="s">
        <v>123</v>
      </c>
      <c r="E62" t="s">
        <v>696</v>
      </c>
      <c r="F62" t="s">
        <v>463</v>
      </c>
      <c r="G62" t="s">
        <v>464</v>
      </c>
      <c r="H62">
        <v>3</v>
      </c>
      <c r="N62">
        <v>1000</v>
      </c>
      <c r="O62">
        <v>0.5</v>
      </c>
      <c r="P62">
        <f t="shared" si="6"/>
        <v>166.66666666666666</v>
      </c>
      <c r="Q62">
        <v>3</v>
      </c>
      <c r="W62">
        <v>50000</v>
      </c>
      <c r="X62">
        <v>0.5</v>
      </c>
      <c r="Y62">
        <f t="shared" si="1"/>
        <v>8333.3333333333339</v>
      </c>
      <c r="Z62">
        <v>6</v>
      </c>
      <c r="AC62">
        <v>1</v>
      </c>
      <c r="AD62">
        <v>1</v>
      </c>
      <c r="AE62">
        <v>6000</v>
      </c>
      <c r="AF62">
        <v>3000</v>
      </c>
      <c r="AG62">
        <v>1</v>
      </c>
      <c r="AH62">
        <f t="shared" si="2"/>
        <v>6250</v>
      </c>
      <c r="AI62">
        <f>IF(매핑v2!H60="○",P62,"")</f>
        <v>166.66666666666666</v>
      </c>
      <c r="AJ62" t="str">
        <f>IF(매핑v2!H60="○","○","X")</f>
        <v>○</v>
      </c>
      <c r="AK62">
        <f>IF(매핑v2!H60="○",Y62,"")</f>
        <v>8333.3333333333339</v>
      </c>
      <c r="AL62" t="str">
        <f>IF(매핑v2!H60="○","○","X")</f>
        <v>○</v>
      </c>
      <c r="AM62">
        <f>IF(매핑v2!H60="○",AH62,"")</f>
        <v>6250</v>
      </c>
      <c r="AN62" t="str">
        <f>IF(매핑v2!H60="○","○","X")</f>
        <v>○</v>
      </c>
      <c r="AO62">
        <f>IF(매핑v2!I60="○",P62,"")</f>
        <v>166.66666666666666</v>
      </c>
      <c r="AP62" t="str">
        <f>IF(매핑v2!I60="○","○","X")</f>
        <v>○</v>
      </c>
      <c r="AQ62">
        <f>IF(매핑v2!I60="○",Y62,"")</f>
        <v>8333.3333333333339</v>
      </c>
      <c r="AR62" t="str">
        <f>IF(매핑v2!I60="○","○","X")</f>
        <v>○</v>
      </c>
      <c r="AS62">
        <f>IF(매핑v2!I60="○",AH62,"")</f>
        <v>6250</v>
      </c>
      <c r="AT62" t="str">
        <f>IF(매핑v2!I60="○","○","X")</f>
        <v>○</v>
      </c>
      <c r="AU62">
        <f>IF(매핑v2!J60="○",P62,"")</f>
        <v>166.66666666666666</v>
      </c>
      <c r="AV62" t="str">
        <f>IF(매핑v2!J60="○","○","X")</f>
        <v>○</v>
      </c>
      <c r="AW62">
        <f>IF(매핑v2!J60="○",Y62,"")</f>
        <v>8333.3333333333339</v>
      </c>
      <c r="AX62" t="str">
        <f>IF(매핑v2!J60="○","○","X")</f>
        <v>○</v>
      </c>
      <c r="AY62">
        <f>IF(매핑v2!J60="○",AH62,"")</f>
        <v>6250</v>
      </c>
      <c r="AZ62" t="str">
        <f>IF(매핑v2!J60="○","○","X")</f>
        <v>○</v>
      </c>
      <c r="BA62">
        <f>IF(매핑v2!K60="○",P62,"")</f>
        <v>166.66666666666666</v>
      </c>
      <c r="BB62" t="str">
        <f>IF(매핑v2!K60="○","○","X")</f>
        <v>○</v>
      </c>
      <c r="BC62">
        <f>IF(매핑v2!K60="○",Y62,"")</f>
        <v>8333.3333333333339</v>
      </c>
      <c r="BD62" t="str">
        <f>IF(매핑v2!K60="○","○","X")</f>
        <v>○</v>
      </c>
      <c r="BE62">
        <f>IF(매핑v2!K60="○",AH62,"")</f>
        <v>6250</v>
      </c>
      <c r="BF62" t="str">
        <f>IF(매핑v2!K60="○","○","X")</f>
        <v>○</v>
      </c>
      <c r="BG62" t="str">
        <f>IF(매핑v2!L60="○",P62,"")</f>
        <v/>
      </c>
      <c r="BH62" t="str">
        <f>IF(매핑v2!L60="○","○","X")</f>
        <v>X</v>
      </c>
      <c r="BI62" t="str">
        <f>IF(매핑v2!L60="○",Y62,"")</f>
        <v/>
      </c>
      <c r="BJ62" t="s">
        <v>977</v>
      </c>
      <c r="BK62" t="s">
        <v>1102</v>
      </c>
      <c r="BL62" t="s">
        <v>977</v>
      </c>
      <c r="BM62" t="s">
        <v>977</v>
      </c>
      <c r="BN62" t="s">
        <v>977</v>
      </c>
      <c r="BO62" t="s">
        <v>1102</v>
      </c>
    </row>
    <row r="63" spans="1:67" x14ac:dyDescent="0.3">
      <c r="A63">
        <v>62</v>
      </c>
      <c r="B63" t="s">
        <v>34</v>
      </c>
      <c r="C63" t="s">
        <v>697</v>
      </c>
      <c r="D63" t="s">
        <v>123</v>
      </c>
      <c r="E63" t="s">
        <v>696</v>
      </c>
      <c r="F63" t="s">
        <v>466</v>
      </c>
      <c r="G63" t="s">
        <v>467</v>
      </c>
      <c r="H63">
        <v>3</v>
      </c>
      <c r="N63">
        <v>15000</v>
      </c>
      <c r="O63">
        <v>0.5</v>
      </c>
      <c r="P63">
        <f t="shared" si="6"/>
        <v>2500</v>
      </c>
      <c r="Q63">
        <v>1</v>
      </c>
      <c r="R63">
        <v>40000</v>
      </c>
      <c r="S63">
        <v>0.5</v>
      </c>
      <c r="Y63">
        <f t="shared" si="1"/>
        <v>6666.666666666667</v>
      </c>
      <c r="Z63">
        <v>3</v>
      </c>
      <c r="AF63">
        <v>6000</v>
      </c>
      <c r="AG63">
        <v>0.25</v>
      </c>
      <c r="AH63">
        <f t="shared" si="2"/>
        <v>2000</v>
      </c>
      <c r="AI63">
        <f>IF(매핑v2!H61="○",P63,"")</f>
        <v>2500</v>
      </c>
      <c r="AJ63" t="str">
        <f>IF(매핑v2!H61="○","○","X")</f>
        <v>○</v>
      </c>
      <c r="AK63">
        <f>IF(매핑v2!H61="○",Y63,"")</f>
        <v>6666.666666666667</v>
      </c>
      <c r="AL63" t="str">
        <f>IF(매핑v2!H61="○","○","X")</f>
        <v>○</v>
      </c>
      <c r="AM63">
        <f>IF(매핑v2!H61="○",AH63,"")</f>
        <v>2000</v>
      </c>
      <c r="AN63" t="str">
        <f>IF(매핑v2!H61="○","○","X")</f>
        <v>○</v>
      </c>
      <c r="AO63">
        <f>IF(매핑v2!I61="○",P63,"")</f>
        <v>2500</v>
      </c>
      <c r="AP63" t="str">
        <f>IF(매핑v2!I61="○","○","X")</f>
        <v>○</v>
      </c>
      <c r="AQ63">
        <f>IF(매핑v2!I61="○",Y63,"")</f>
        <v>6666.666666666667</v>
      </c>
      <c r="AR63" t="str">
        <f>IF(매핑v2!I61="○","○","X")</f>
        <v>○</v>
      </c>
      <c r="AS63">
        <f>IF(매핑v2!I61="○",AH63,"")</f>
        <v>2000</v>
      </c>
      <c r="AT63" t="str">
        <f>IF(매핑v2!I61="○","○","X")</f>
        <v>○</v>
      </c>
      <c r="AU63">
        <f>IF(매핑v2!J61="○",P63,"")</f>
        <v>2500</v>
      </c>
      <c r="AV63" t="str">
        <f>IF(매핑v2!J61="○","○","X")</f>
        <v>○</v>
      </c>
      <c r="AW63">
        <f>IF(매핑v2!J61="○",Y63,"")</f>
        <v>6666.666666666667</v>
      </c>
      <c r="AX63" t="str">
        <f>IF(매핑v2!J61="○","○","X")</f>
        <v>○</v>
      </c>
      <c r="AY63">
        <f>IF(매핑v2!J61="○",AH63,"")</f>
        <v>2000</v>
      </c>
      <c r="AZ63" t="str">
        <f>IF(매핑v2!J61="○","○","X")</f>
        <v>○</v>
      </c>
      <c r="BA63">
        <f>IF(매핑v2!K61="○",P63,"")</f>
        <v>2500</v>
      </c>
      <c r="BB63" t="str">
        <f>IF(매핑v2!K61="○","○","X")</f>
        <v>○</v>
      </c>
      <c r="BC63">
        <f>IF(매핑v2!K61="○",Y63,"")</f>
        <v>6666.666666666667</v>
      </c>
      <c r="BD63" t="str">
        <f>IF(매핑v2!K61="○","○","X")</f>
        <v>○</v>
      </c>
      <c r="BE63">
        <f>IF(매핑v2!K61="○",AH63,"")</f>
        <v>2000</v>
      </c>
      <c r="BF63" t="str">
        <f>IF(매핑v2!K61="○","○","X")</f>
        <v>○</v>
      </c>
      <c r="BG63">
        <f>IF(매핑v2!L61="○",P63,"")</f>
        <v>2500</v>
      </c>
      <c r="BH63" t="str">
        <f>IF(매핑v2!L61="○","○","X")</f>
        <v>○</v>
      </c>
      <c r="BI63">
        <f>IF(매핑v2!L61="○",Y63,"")</f>
        <v>6666.666666666667</v>
      </c>
      <c r="BJ63" t="s">
        <v>977</v>
      </c>
      <c r="BK63" t="s">
        <v>1102</v>
      </c>
      <c r="BL63" t="s">
        <v>977</v>
      </c>
      <c r="BM63" t="s">
        <v>977</v>
      </c>
      <c r="BN63" t="s">
        <v>977</v>
      </c>
      <c r="BO63" t="s">
        <v>1102</v>
      </c>
    </row>
    <row r="64" spans="1:67" x14ac:dyDescent="0.3">
      <c r="A64">
        <v>63</v>
      </c>
      <c r="B64" t="s">
        <v>34</v>
      </c>
      <c r="C64" t="s">
        <v>698</v>
      </c>
      <c r="D64" t="s">
        <v>36</v>
      </c>
      <c r="E64" t="s">
        <v>699</v>
      </c>
      <c r="F64" t="s">
        <v>512</v>
      </c>
      <c r="G64" t="s">
        <v>513</v>
      </c>
      <c r="H64">
        <v>5</v>
      </c>
      <c r="I64">
        <v>10000</v>
      </c>
      <c r="J64">
        <v>10</v>
      </c>
      <c r="N64">
        <v>2000</v>
      </c>
      <c r="O64">
        <v>2</v>
      </c>
      <c r="P64">
        <f t="shared" si="6"/>
        <v>166.66666666666666</v>
      </c>
      <c r="Q64">
        <v>2</v>
      </c>
      <c r="T64">
        <v>0.1</v>
      </c>
      <c r="U64">
        <v>1</v>
      </c>
      <c r="V64">
        <v>15000</v>
      </c>
      <c r="Y64">
        <f t="shared" si="1"/>
        <v>1500</v>
      </c>
      <c r="Z64">
        <v>2</v>
      </c>
      <c r="AA64">
        <v>120000</v>
      </c>
      <c r="AB64">
        <v>2</v>
      </c>
      <c r="AH64" t="str">
        <f t="shared" si="2"/>
        <v/>
      </c>
      <c r="AI64">
        <f>IF(매핑v2!H62="○",P64,"")</f>
        <v>166.66666666666666</v>
      </c>
      <c r="AJ64" t="str">
        <f>IF(매핑v2!H62="○","○","X")</f>
        <v>○</v>
      </c>
      <c r="AK64">
        <f>IF(매핑v2!H62="○",Y64,"")</f>
        <v>1500</v>
      </c>
      <c r="AL64" t="str">
        <f>IF(매핑v2!H62="○","○","X")</f>
        <v>○</v>
      </c>
      <c r="AM64" t="str">
        <f>IF(매핑v2!H62="○",AH64,"")</f>
        <v/>
      </c>
      <c r="AN64" t="str">
        <f>IF(매핑v2!H62="○","○","X")</f>
        <v>○</v>
      </c>
      <c r="AO64">
        <f>IF(매핑v2!I62="○",P64,"")</f>
        <v>166.66666666666666</v>
      </c>
      <c r="AP64" t="str">
        <f>IF(매핑v2!I62="○","○","X")</f>
        <v>○</v>
      </c>
      <c r="AQ64">
        <f>IF(매핑v2!I62="○",Y64,"")</f>
        <v>1500</v>
      </c>
      <c r="AR64" t="str">
        <f>IF(매핑v2!I62="○","○","X")</f>
        <v>○</v>
      </c>
      <c r="AS64" t="str">
        <f>IF(매핑v2!I62="○",AH64,"")</f>
        <v/>
      </c>
      <c r="AT64" t="str">
        <f>IF(매핑v2!I62="○","○","X")</f>
        <v>○</v>
      </c>
      <c r="AU64">
        <f>IF(매핑v2!J62="○",P64,"")</f>
        <v>166.66666666666666</v>
      </c>
      <c r="AV64" t="str">
        <f>IF(매핑v2!J62="○","○","X")</f>
        <v>○</v>
      </c>
      <c r="AW64">
        <f>IF(매핑v2!J62="○",Y64,"")</f>
        <v>1500</v>
      </c>
      <c r="AX64" t="str">
        <f>IF(매핑v2!J62="○","○","X")</f>
        <v>○</v>
      </c>
      <c r="AY64" t="str">
        <f>IF(매핑v2!J62="○",AH64,"")</f>
        <v/>
      </c>
      <c r="AZ64" t="str">
        <f>IF(매핑v2!J62="○","○","X")</f>
        <v>○</v>
      </c>
      <c r="BA64">
        <f>IF(매핑v2!K62="○",P64,"")</f>
        <v>166.66666666666666</v>
      </c>
      <c r="BB64" t="str">
        <f>IF(매핑v2!K62="○","○","X")</f>
        <v>○</v>
      </c>
      <c r="BC64">
        <f>IF(매핑v2!K62="○",Y64,"")</f>
        <v>1500</v>
      </c>
      <c r="BD64" t="str">
        <f>IF(매핑v2!K62="○","○","X")</f>
        <v>○</v>
      </c>
      <c r="BE64" t="str">
        <f>IF(매핑v2!K62="○",AH64,"")</f>
        <v/>
      </c>
      <c r="BF64" t="str">
        <f>IF(매핑v2!K62="○","○","X")</f>
        <v>○</v>
      </c>
      <c r="BG64">
        <f>IF(매핑v2!L62="○",P64,"")</f>
        <v>166.66666666666666</v>
      </c>
      <c r="BH64" t="str">
        <f>IF(매핑v2!L62="○","○","X")</f>
        <v>○</v>
      </c>
      <c r="BI64">
        <f>IF(매핑v2!L62="○",Y64,"")</f>
        <v>1500</v>
      </c>
      <c r="BJ64" t="s">
        <v>977</v>
      </c>
      <c r="BK64" t="s">
        <v>1102</v>
      </c>
      <c r="BL64" t="s">
        <v>1102</v>
      </c>
      <c r="BM64" t="s">
        <v>977</v>
      </c>
      <c r="BN64" t="s">
        <v>977</v>
      </c>
      <c r="BO64" t="s">
        <v>1102</v>
      </c>
    </row>
    <row r="65" spans="1:67" x14ac:dyDescent="0.3">
      <c r="A65">
        <v>64</v>
      </c>
      <c r="B65" t="s">
        <v>34</v>
      </c>
      <c r="C65" t="s">
        <v>702</v>
      </c>
      <c r="D65" t="s">
        <v>123</v>
      </c>
      <c r="E65" t="s">
        <v>837</v>
      </c>
      <c r="F65" t="s">
        <v>469</v>
      </c>
      <c r="G65" t="s">
        <v>470</v>
      </c>
      <c r="H65">
        <v>2</v>
      </c>
      <c r="K65">
        <v>1</v>
      </c>
      <c r="L65">
        <v>1</v>
      </c>
      <c r="M65">
        <v>1000</v>
      </c>
      <c r="P65">
        <f t="shared" si="6"/>
        <v>1000</v>
      </c>
      <c r="Q65">
        <v>2</v>
      </c>
      <c r="Y65" t="str">
        <f t="shared" si="1"/>
        <v/>
      </c>
      <c r="Z65">
        <v>2</v>
      </c>
      <c r="AH65" t="str">
        <f t="shared" si="2"/>
        <v/>
      </c>
      <c r="AI65">
        <f>IF(매핑v2!H64="○",P65,"")</f>
        <v>1000</v>
      </c>
      <c r="AJ65" t="str">
        <f>IF(매핑v2!H64="○","○","X")</f>
        <v>○</v>
      </c>
      <c r="AK65" t="str">
        <f>IF(매핑v2!H64="○",Y65,"")</f>
        <v/>
      </c>
      <c r="AL65" t="str">
        <f>IF(매핑v2!H64="○","○","X")</f>
        <v>○</v>
      </c>
      <c r="AM65" t="str">
        <f>IF(매핑v2!H64="○",AH65,"")</f>
        <v/>
      </c>
      <c r="AN65" t="str">
        <f>IF(매핑v2!H64="○","○","X")</f>
        <v>○</v>
      </c>
      <c r="AO65">
        <f>IF(매핑v2!I64="○",P65,"")</f>
        <v>1000</v>
      </c>
      <c r="AP65" t="str">
        <f>IF(매핑v2!I64="○","○","X")</f>
        <v>○</v>
      </c>
      <c r="AQ65" t="str">
        <f>IF(매핑v2!I64="○",Y65,"")</f>
        <v/>
      </c>
      <c r="AR65" t="str">
        <f>IF(매핑v2!I64="○","○","X")</f>
        <v>○</v>
      </c>
      <c r="AS65" t="str">
        <f>IF(매핑v2!I64="○",AH65,"")</f>
        <v/>
      </c>
      <c r="AT65" t="str">
        <f>IF(매핑v2!I64="○","○","X")</f>
        <v>○</v>
      </c>
      <c r="AU65">
        <f>IF(매핑v2!J64="○",P65,"")</f>
        <v>1000</v>
      </c>
      <c r="AV65" t="str">
        <f>IF(매핑v2!J64="○","○","X")</f>
        <v>○</v>
      </c>
      <c r="AW65" t="str">
        <f>IF(매핑v2!J64="○",Y65,"")</f>
        <v/>
      </c>
      <c r="AX65" t="str">
        <f>IF(매핑v2!J64="○","○","X")</f>
        <v>○</v>
      </c>
      <c r="AY65" t="str">
        <f>IF(매핑v2!J64="○",AH65,"")</f>
        <v/>
      </c>
      <c r="AZ65" t="str">
        <f>IF(매핑v2!J64="○","○","X")</f>
        <v>○</v>
      </c>
      <c r="BA65">
        <f>IF(매핑v2!K64="○",P65,"")</f>
        <v>1000</v>
      </c>
      <c r="BB65" t="str">
        <f>IF(매핑v2!K64="○","○","X")</f>
        <v>○</v>
      </c>
      <c r="BC65" t="str">
        <f>IF(매핑v2!K64="○",Y65,"")</f>
        <v/>
      </c>
      <c r="BD65" t="str">
        <f>IF(매핑v2!K64="○","○","X")</f>
        <v>○</v>
      </c>
      <c r="BE65" t="str">
        <f>IF(매핑v2!K64="○",AH65,"")</f>
        <v/>
      </c>
      <c r="BF65" t="str">
        <f>IF(매핑v2!K64="○","○","X")</f>
        <v>○</v>
      </c>
      <c r="BG65">
        <f>IF(매핑v2!L64="○",P65,"")</f>
        <v>1000</v>
      </c>
      <c r="BH65" t="str">
        <f>IF(매핑v2!L64="○","○","X")</f>
        <v>○</v>
      </c>
      <c r="BI65" t="str">
        <f>IF(매핑v2!L64="○",Y65,"")</f>
        <v/>
      </c>
      <c r="BJ65" t="s">
        <v>977</v>
      </c>
      <c r="BK65" t="s">
        <v>1102</v>
      </c>
      <c r="BL65" t="s">
        <v>1102</v>
      </c>
      <c r="BM65" t="s">
        <v>977</v>
      </c>
      <c r="BN65" t="s">
        <v>1102</v>
      </c>
      <c r="BO65" t="s">
        <v>1102</v>
      </c>
    </row>
    <row r="66" spans="1:67" x14ac:dyDescent="0.3">
      <c r="A66">
        <v>65</v>
      </c>
      <c r="B66" t="s">
        <v>705</v>
      </c>
      <c r="C66" t="s">
        <v>706</v>
      </c>
      <c r="D66" t="s">
        <v>63</v>
      </c>
      <c r="E66" t="s">
        <v>838</v>
      </c>
      <c r="F66" t="s">
        <v>962</v>
      </c>
      <c r="G66" t="s">
        <v>929</v>
      </c>
      <c r="H66">
        <v>2</v>
      </c>
      <c r="K66">
        <v>1</v>
      </c>
      <c r="L66">
        <v>0.5</v>
      </c>
      <c r="M66">
        <v>50000</v>
      </c>
      <c r="P66">
        <f t="shared" si="6"/>
        <v>25000</v>
      </c>
      <c r="Q66">
        <v>1</v>
      </c>
      <c r="R66">
        <v>100000</v>
      </c>
      <c r="S66">
        <v>1</v>
      </c>
      <c r="Y66">
        <f t="shared" si="1"/>
        <v>8333.3333333333339</v>
      </c>
      <c r="Z66">
        <v>1</v>
      </c>
      <c r="AH66" t="str">
        <f t="shared" si="2"/>
        <v/>
      </c>
      <c r="AI66">
        <f>IF(매핑v2!H65="○",P66,"")</f>
        <v>25000</v>
      </c>
      <c r="AJ66" t="str">
        <f>IF(매핑v2!H65="○","○","X")</f>
        <v>○</v>
      </c>
      <c r="AK66">
        <f>IF(매핑v2!H65="○",Y66,"")</f>
        <v>8333.3333333333339</v>
      </c>
      <c r="AL66" t="str">
        <f>IF(매핑v2!H65="○","○","X")</f>
        <v>○</v>
      </c>
      <c r="AM66" t="str">
        <f>IF(매핑v2!H65="○",AH66,"")</f>
        <v/>
      </c>
      <c r="AN66" t="str">
        <f>IF(매핑v2!H65="○","○","X")</f>
        <v>○</v>
      </c>
      <c r="AO66">
        <f>IF(매핑v2!I65="○",P66,"")</f>
        <v>25000</v>
      </c>
      <c r="AP66" t="str">
        <f>IF(매핑v2!I65="○","○","X")</f>
        <v>○</v>
      </c>
      <c r="AQ66">
        <f>IF(매핑v2!I65="○",Y66,"")</f>
        <v>8333.3333333333339</v>
      </c>
      <c r="AR66" t="str">
        <f>IF(매핑v2!I65="○","○","X")</f>
        <v>○</v>
      </c>
      <c r="AS66" t="str">
        <f>IF(매핑v2!I65="○",AH66,"")</f>
        <v/>
      </c>
      <c r="AT66" t="str">
        <f>IF(매핑v2!I65="○","○","X")</f>
        <v>○</v>
      </c>
      <c r="AU66">
        <f>IF(매핑v2!J65="○",P66,"")</f>
        <v>25000</v>
      </c>
      <c r="AV66" t="str">
        <f>IF(매핑v2!J65="○","○","X")</f>
        <v>○</v>
      </c>
      <c r="AW66">
        <f>IF(매핑v2!J65="○",Y66,"")</f>
        <v>8333.3333333333339</v>
      </c>
      <c r="AX66" t="str">
        <f>IF(매핑v2!J65="○","○","X")</f>
        <v>○</v>
      </c>
      <c r="AY66" t="str">
        <f>IF(매핑v2!J65="○",AH66,"")</f>
        <v/>
      </c>
      <c r="AZ66" t="str">
        <f>IF(매핑v2!J65="○","○","X")</f>
        <v>○</v>
      </c>
      <c r="BA66" t="str">
        <f>IF(매핑v2!K65="○",P66,"")</f>
        <v/>
      </c>
      <c r="BB66" t="str">
        <f>IF(매핑v2!K65="○","○","X")</f>
        <v>X</v>
      </c>
      <c r="BC66" t="str">
        <f>IF(매핑v2!K65="○",Y66,"")</f>
        <v/>
      </c>
      <c r="BD66" t="str">
        <f>IF(매핑v2!K65="○","○","X")</f>
        <v>X</v>
      </c>
      <c r="BE66" t="str">
        <f>IF(매핑v2!K65="○",AH66,"")</f>
        <v/>
      </c>
      <c r="BF66" t="str">
        <f>IF(매핑v2!K65="○","○","X")</f>
        <v>X</v>
      </c>
      <c r="BG66" t="str">
        <f>IF(매핑v2!L65="○",P66,"")</f>
        <v/>
      </c>
      <c r="BH66" t="str">
        <f>IF(매핑v2!L65="○","○","X")</f>
        <v>X</v>
      </c>
      <c r="BI66" t="str">
        <f>IF(매핑v2!L65="○",Y66,"")</f>
        <v/>
      </c>
      <c r="BJ66" t="s">
        <v>977</v>
      </c>
      <c r="BK66" t="s">
        <v>1102</v>
      </c>
      <c r="BL66" t="s">
        <v>977</v>
      </c>
      <c r="BM66" t="s">
        <v>977</v>
      </c>
      <c r="BN66" t="s">
        <v>1102</v>
      </c>
      <c r="BO66" t="s">
        <v>1102</v>
      </c>
    </row>
    <row r="67" spans="1:67" x14ac:dyDescent="0.3">
      <c r="A67">
        <v>66</v>
      </c>
      <c r="B67" t="s">
        <v>705</v>
      </c>
      <c r="C67" t="s">
        <v>1084</v>
      </c>
      <c r="D67" t="s">
        <v>63</v>
      </c>
      <c r="E67" t="s">
        <v>1085</v>
      </c>
      <c r="F67" t="s">
        <v>1086</v>
      </c>
      <c r="G67" t="s">
        <v>1087</v>
      </c>
      <c r="H67">
        <v>2</v>
      </c>
      <c r="K67">
        <f>1/12</f>
        <v>8.3333333333333329E-2</v>
      </c>
      <c r="L67">
        <v>3</v>
      </c>
      <c r="M67">
        <v>15000</v>
      </c>
      <c r="P67">
        <f t="shared" si="6"/>
        <v>3750</v>
      </c>
      <c r="Q67">
        <v>2</v>
      </c>
      <c r="T67">
        <f>1/12</f>
        <v>8.3333333333333329E-2</v>
      </c>
      <c r="U67">
        <v>12</v>
      </c>
      <c r="V67">
        <v>25000</v>
      </c>
      <c r="Y67">
        <f t="shared" si="1"/>
        <v>25000</v>
      </c>
      <c r="Z67">
        <v>1</v>
      </c>
      <c r="AH67" t="str">
        <f t="shared" si="2"/>
        <v/>
      </c>
      <c r="AI67">
        <f>IF(매핑v2!H66="○",P67,"")</f>
        <v>3750</v>
      </c>
    </row>
    <row r="68" spans="1:67" x14ac:dyDescent="0.3">
      <c r="A68">
        <v>67</v>
      </c>
      <c r="B68" t="s">
        <v>1078</v>
      </c>
      <c r="C68" t="s">
        <v>708</v>
      </c>
      <c r="D68" t="s">
        <v>63</v>
      </c>
      <c r="E68" t="s">
        <v>800</v>
      </c>
      <c r="F68" t="s">
        <v>930</v>
      </c>
      <c r="G68" t="s">
        <v>931</v>
      </c>
      <c r="H68">
        <v>2</v>
      </c>
      <c r="K68">
        <v>1</v>
      </c>
      <c r="L68">
        <v>1</v>
      </c>
      <c r="M68">
        <v>100000</v>
      </c>
      <c r="P68">
        <f t="shared" ref="P68:P83" si="7">IF($H68=1,IF(AND(I68&lt;&gt;"",J68&lt;&gt;""),I68/J68/12,""),IF($H68=2,IF(AND(K68&lt;&gt;"",L68&lt;&gt;"",M68&lt;&gt;""),K68*L68*M68,""),IF($H68=3,IF(AND(N68&lt;&gt;"",O68&lt;&gt;""),N68/O68/12,""),IF($H68=4,IF(AND(I68&lt;&gt;"",J68&lt;&gt;""),I68/J68/12,0)+IF(AND(K68&lt;&gt;"",L68&lt;&gt;"",M68&lt;&gt;""),K68*L68*M68,0),IF($H68=5,IF(AND(I68&lt;&gt;"",J68&lt;&gt;""),I68/J68/12,0)+IF(AND(N68&lt;&gt;"",O68&lt;&gt;""),N68/O68/12,0),IF($H68=6,IF(AND(K68&lt;&gt;"",L68&lt;&gt;"",M68&lt;&gt;""),K68*L68*M68,0)+IF(AND(N68&lt;&gt;"",O68&lt;&gt;""),N68/O68/12,0),""))))))</f>
        <v>100000</v>
      </c>
      <c r="Q68">
        <v>2</v>
      </c>
      <c r="T68">
        <v>1</v>
      </c>
      <c r="U68">
        <v>1</v>
      </c>
      <c r="V68">
        <v>100000</v>
      </c>
      <c r="Y68">
        <f t="shared" si="1"/>
        <v>100000</v>
      </c>
      <c r="Z68">
        <v>2</v>
      </c>
      <c r="AH68" t="str">
        <f t="shared" si="2"/>
        <v/>
      </c>
      <c r="AI68">
        <f>IF(매핑v2!H66="○",P68,"")</f>
        <v>100000</v>
      </c>
      <c r="AJ68" t="str">
        <f>IF(매핑v2!H66="○","○","X")</f>
        <v>○</v>
      </c>
      <c r="AK68">
        <f>IF(매핑v2!H66="○",Y68,"")</f>
        <v>100000</v>
      </c>
      <c r="AL68" t="str">
        <f>IF(매핑v2!H66="○","○","X")</f>
        <v>○</v>
      </c>
      <c r="AM68" t="str">
        <f>IF(매핑v2!H66="○",AH68,"")</f>
        <v/>
      </c>
      <c r="AN68" t="str">
        <f>IF(매핑v2!H66="○","○","X")</f>
        <v>○</v>
      </c>
      <c r="AO68">
        <f>IF(매핑v2!I66="○",P68,"")</f>
        <v>100000</v>
      </c>
      <c r="AP68" t="str">
        <f>IF(매핑v2!I66="○","○","X")</f>
        <v>○</v>
      </c>
      <c r="AQ68">
        <f>IF(매핑v2!I66="○",Y68,"")</f>
        <v>100000</v>
      </c>
      <c r="AR68" t="str">
        <f>IF(매핑v2!I66="○","○","X")</f>
        <v>○</v>
      </c>
      <c r="AS68" t="str">
        <f>IF(매핑v2!I66="○",AH68,"")</f>
        <v/>
      </c>
      <c r="AT68" t="str">
        <f>IF(매핑v2!I66="○","○","X")</f>
        <v>○</v>
      </c>
      <c r="AU68">
        <f>IF(매핑v2!J66="○",P68,"")</f>
        <v>100000</v>
      </c>
      <c r="AV68" t="str">
        <f>IF(매핑v2!J66="○","○","X")</f>
        <v>○</v>
      </c>
      <c r="AW68">
        <f>IF(매핑v2!J66="○",Y68,"")</f>
        <v>100000</v>
      </c>
      <c r="AX68" t="str">
        <f>IF(매핑v2!J66="○","○","X")</f>
        <v>○</v>
      </c>
      <c r="AY68" t="str">
        <f>IF(매핑v2!J66="○",AH68,"")</f>
        <v/>
      </c>
      <c r="AZ68" t="str">
        <f>IF(매핑v2!J66="○","○","X")</f>
        <v>○</v>
      </c>
      <c r="BA68">
        <f>IF(매핑v2!K66="○",P68,"")</f>
        <v>100000</v>
      </c>
      <c r="BB68" t="str">
        <f>IF(매핑v2!K66="○","○","X")</f>
        <v>○</v>
      </c>
      <c r="BC68">
        <f>IF(매핑v2!K66="○",Y68,"")</f>
        <v>100000</v>
      </c>
      <c r="BD68" t="str">
        <f>IF(매핑v2!K66="○","○","X")</f>
        <v>○</v>
      </c>
      <c r="BE68" t="str">
        <f>IF(매핑v2!K66="○",AH68,"")</f>
        <v/>
      </c>
      <c r="BF68" t="str">
        <f>IF(매핑v2!K66="○","○","X")</f>
        <v>○</v>
      </c>
      <c r="BG68">
        <f>IF(매핑v2!L66="○",P68,"")</f>
        <v>100000</v>
      </c>
      <c r="BH68" t="str">
        <f>IF(매핑v2!L66="○","○","X")</f>
        <v>○</v>
      </c>
      <c r="BI68">
        <f>IF(매핑v2!L66="○",Y68,"")</f>
        <v>100000</v>
      </c>
      <c r="BJ68" t="s">
        <v>1102</v>
      </c>
      <c r="BK68" t="s">
        <v>1102</v>
      </c>
      <c r="BL68" t="s">
        <v>977</v>
      </c>
      <c r="BM68" t="s">
        <v>977</v>
      </c>
      <c r="BN68" t="s">
        <v>1102</v>
      </c>
      <c r="BO68" t="s">
        <v>1102</v>
      </c>
    </row>
    <row r="69" spans="1:67" x14ac:dyDescent="0.3">
      <c r="A69">
        <v>68</v>
      </c>
      <c r="B69" t="s">
        <v>1078</v>
      </c>
      <c r="C69" t="s">
        <v>709</v>
      </c>
      <c r="D69" t="s">
        <v>63</v>
      </c>
      <c r="E69" t="s">
        <v>768</v>
      </c>
      <c r="F69" t="s">
        <v>932</v>
      </c>
      <c r="G69" t="s">
        <v>933</v>
      </c>
      <c r="H69">
        <v>2</v>
      </c>
      <c r="K69">
        <v>1</v>
      </c>
      <c r="L69">
        <v>1</v>
      </c>
      <c r="M69">
        <v>20000</v>
      </c>
      <c r="P69">
        <f t="shared" si="7"/>
        <v>20000</v>
      </c>
      <c r="Q69">
        <v>2</v>
      </c>
      <c r="T69">
        <v>1</v>
      </c>
      <c r="U69">
        <v>1</v>
      </c>
      <c r="V69">
        <v>50000</v>
      </c>
      <c r="Y69">
        <f t="shared" ref="Y69:Y83" si="8">IF($Q69=1,IF(AND(R69&lt;&gt;"",S69&lt;&gt;""),R69/S69/12,""),IF($Q69=2,IF(AND(T69&lt;&gt;"",U69&lt;&gt;"",V69&lt;&gt;""),T69*U69*V69,""),IF($Q69=3,IF(AND(W69&lt;&gt;"",X69&lt;&gt;""),W69/X69/12,""),IF($Q69=4,IF(AND(R69&lt;&gt;"",S69&lt;&gt;""),R69/S69/12,0)+IF(AND(T69&lt;&gt;"",U69&lt;&gt;"",V69&lt;&gt;""),T69*U69*V69,0),IF($Q69=5,IF(AND(R69&lt;&gt;"",S69&lt;&gt;""),R69/S69/12,0)+IF(AND(W69&lt;&gt;"",X69&lt;&gt;""),W69/X69/12,0),IF($Q69=6,IF(AND(T69&lt;&gt;"",U69&lt;&gt;"",V69&lt;&gt;""),T69*U69*V69,0)+IF(AND(W69&lt;&gt;"",X69&lt;&gt;""),W69/X69/12,0),""))))))</f>
        <v>50000</v>
      </c>
      <c r="Z69">
        <v>2</v>
      </c>
      <c r="AC69">
        <v>0.25</v>
      </c>
      <c r="AD69">
        <v>1</v>
      </c>
      <c r="AE69">
        <v>20000</v>
      </c>
      <c r="AH69">
        <f t="shared" ref="AH69:AH83" si="9">IF($Z69=1,IF(AND(AA69&lt;&gt;"",AB69&lt;&gt;""),AA69/AB69/12,""),IF($Z69=2,IF(AND(AC69&lt;&gt;"",AD69&lt;&gt;"",AE69&lt;&gt;""),AC69*AD69*AE69,""),IF($Z69=3,IF(AND(AF69&lt;&gt;"",AG69&lt;&gt;""),AF69/AG69/12,""),IF($Z69=4,IF(AND(AA69&lt;&gt;"",AB69&lt;&gt;""),AA69/AB69/12,0)+IF(AND(AC69&lt;&gt;"",AD69&lt;&gt;"",AE69&lt;&gt;""),AC69*AD69*AE69,0),IF($Z69=5,IF(AND(AA69&lt;&gt;"",AB69&lt;&gt;""),AA69/AB69/12,0)+IF(AND(AF69&lt;&gt;"",AG69&lt;&gt;""),AF69/AG69/12,0),IF($Z69=6,IF(AND(AC69&lt;&gt;"",AD69&lt;&gt;"",AE69&lt;&gt;""),AC69*AD69*AE69,0)+IF(AND(AF69&lt;&gt;"",AG69&lt;&gt;""),AF69/AG69/12,0),""))))))</f>
        <v>5000</v>
      </c>
      <c r="AI69">
        <f>IF(매핑v2!H67="○",P69,"")</f>
        <v>20000</v>
      </c>
      <c r="AJ69" t="str">
        <f>IF(매핑v2!H67="○","○","X")</f>
        <v>○</v>
      </c>
      <c r="AK69">
        <f>IF(매핑v2!H67="○",Y69,"")</f>
        <v>50000</v>
      </c>
      <c r="AL69" t="str">
        <f>IF(매핑v2!H67="○","○","X")</f>
        <v>○</v>
      </c>
      <c r="AM69">
        <f>IF(매핑v2!H67="○",AH69,"")</f>
        <v>5000</v>
      </c>
      <c r="AN69" t="str">
        <f>IF(매핑v2!H67="○","○","X")</f>
        <v>○</v>
      </c>
      <c r="AO69">
        <f>IF(매핑v2!I67="○",P69,"")</f>
        <v>20000</v>
      </c>
      <c r="AP69" t="str">
        <f>IF(매핑v2!I67="○","○","X")</f>
        <v>○</v>
      </c>
      <c r="AQ69">
        <f>IF(매핑v2!I67="○",Y69,"")</f>
        <v>50000</v>
      </c>
      <c r="AR69" t="str">
        <f>IF(매핑v2!I67="○","○","X")</f>
        <v>○</v>
      </c>
      <c r="AS69">
        <f>IF(매핑v2!I67="○",AH69,"")</f>
        <v>5000</v>
      </c>
      <c r="AT69" t="str">
        <f>IF(매핑v2!I67="○","○","X")</f>
        <v>○</v>
      </c>
      <c r="AU69">
        <f>IF(매핑v2!J67="○",P69,"")</f>
        <v>20000</v>
      </c>
      <c r="AV69" t="str">
        <f>IF(매핑v2!J67="○","○","X")</f>
        <v>○</v>
      </c>
      <c r="AW69">
        <f>IF(매핑v2!J67="○",Y69,"")</f>
        <v>50000</v>
      </c>
      <c r="AX69" t="str">
        <f>IF(매핑v2!J67="○","○","X")</f>
        <v>○</v>
      </c>
      <c r="AY69">
        <f>IF(매핑v2!J67="○",AH69,"")</f>
        <v>5000</v>
      </c>
      <c r="AZ69" t="str">
        <f>IF(매핑v2!J67="○","○","X")</f>
        <v>○</v>
      </c>
      <c r="BA69">
        <f>IF(매핑v2!K67="○",P69,"")</f>
        <v>20000</v>
      </c>
      <c r="BB69" t="str">
        <f>IF(매핑v2!K67="○","○","X")</f>
        <v>○</v>
      </c>
      <c r="BC69">
        <f>IF(매핑v2!K67="○",Y69,"")</f>
        <v>50000</v>
      </c>
      <c r="BD69" t="str">
        <f>IF(매핑v2!K67="○","○","X")</f>
        <v>○</v>
      </c>
      <c r="BE69">
        <f>IF(매핑v2!K67="○",AH69,"")</f>
        <v>5000</v>
      </c>
      <c r="BF69" t="str">
        <f>IF(매핑v2!K67="○","○","X")</f>
        <v>○</v>
      </c>
      <c r="BG69">
        <f>IF(매핑v2!L67="○",P69,"")</f>
        <v>20000</v>
      </c>
      <c r="BH69" t="str">
        <f>IF(매핑v2!L67="○","○","X")</f>
        <v>○</v>
      </c>
      <c r="BI69">
        <f>IF(매핑v2!L67="○",Y69,"")</f>
        <v>50000</v>
      </c>
      <c r="BJ69" t="s">
        <v>977</v>
      </c>
      <c r="BK69" t="s">
        <v>1102</v>
      </c>
      <c r="BL69" t="s">
        <v>977</v>
      </c>
      <c r="BM69" t="s">
        <v>977</v>
      </c>
      <c r="BN69" t="s">
        <v>977</v>
      </c>
      <c r="BO69" t="s">
        <v>1102</v>
      </c>
    </row>
    <row r="70" spans="1:67" x14ac:dyDescent="0.3">
      <c r="A70">
        <v>69</v>
      </c>
      <c r="B70" t="s">
        <v>1078</v>
      </c>
      <c r="C70" t="s">
        <v>1077</v>
      </c>
      <c r="D70" t="s">
        <v>16</v>
      </c>
      <c r="E70" t="s">
        <v>711</v>
      </c>
      <c r="F70" t="s">
        <v>934</v>
      </c>
      <c r="G70" t="s">
        <v>935</v>
      </c>
      <c r="H70">
        <v>2</v>
      </c>
      <c r="K70">
        <v>3</v>
      </c>
      <c r="L70">
        <v>1</v>
      </c>
      <c r="M70">
        <v>80000</v>
      </c>
      <c r="P70">
        <f t="shared" si="7"/>
        <v>240000</v>
      </c>
      <c r="Q70">
        <v>2</v>
      </c>
      <c r="T70">
        <v>1</v>
      </c>
      <c r="U70">
        <v>4</v>
      </c>
      <c r="V70">
        <v>150000</v>
      </c>
      <c r="Y70">
        <f t="shared" si="8"/>
        <v>600000</v>
      </c>
      <c r="Z70">
        <v>2</v>
      </c>
      <c r="AC70">
        <v>1</v>
      </c>
      <c r="AD70">
        <v>4</v>
      </c>
      <c r="AE70">
        <v>80000</v>
      </c>
      <c r="AH70">
        <f t="shared" si="9"/>
        <v>320000</v>
      </c>
      <c r="AI70" t="str">
        <f>IF(매핑v2!H68="○",P70,"")</f>
        <v/>
      </c>
      <c r="AJ70" t="str">
        <f>IF(매핑v2!H68="○","○","X")</f>
        <v>X</v>
      </c>
      <c r="AK70" t="str">
        <f>IF(매핑v2!H68="○",Y70,"")</f>
        <v/>
      </c>
      <c r="AL70" t="str">
        <f>IF(매핑v2!H68="○","○","X")</f>
        <v>X</v>
      </c>
      <c r="AM70" t="str">
        <f>IF(매핑v2!H68="○",AH70,"")</f>
        <v/>
      </c>
      <c r="AN70" t="str">
        <f>IF(매핑v2!H68="○","○","X")</f>
        <v>X</v>
      </c>
      <c r="AO70" t="str">
        <f>IF(매핑v2!I68="○",P70,"")</f>
        <v/>
      </c>
      <c r="AP70" t="str">
        <f>IF(매핑v2!I68="○","○","X")</f>
        <v>X</v>
      </c>
      <c r="AQ70" t="str">
        <f>IF(매핑v2!I68="○",Y70,"")</f>
        <v/>
      </c>
      <c r="AR70" t="str">
        <f>IF(매핑v2!I68="○","○","X")</f>
        <v>X</v>
      </c>
      <c r="AS70" t="str">
        <f>IF(매핑v2!I68="○",AH70,"")</f>
        <v/>
      </c>
      <c r="AT70" t="str">
        <f>IF(매핑v2!I68="○","○","X")</f>
        <v>X</v>
      </c>
      <c r="AU70">
        <f>IF(매핑v2!J68="○",P70,"")</f>
        <v>240000</v>
      </c>
      <c r="AV70" t="str">
        <f>IF(매핑v2!J68="○","○","X")</f>
        <v>○</v>
      </c>
      <c r="AW70">
        <f>IF(매핑v2!J68="○",Y70,"")</f>
        <v>600000</v>
      </c>
      <c r="AX70" t="str">
        <f>IF(매핑v2!J68="○","○","X")</f>
        <v>○</v>
      </c>
      <c r="AY70">
        <f>IF(매핑v2!J68="○",AH70,"")</f>
        <v>320000</v>
      </c>
      <c r="AZ70" t="str">
        <f>IF(매핑v2!J68="○","○","X")</f>
        <v>○</v>
      </c>
      <c r="BA70">
        <f>IF(매핑v2!K68="○",P70,"")</f>
        <v>240000</v>
      </c>
      <c r="BB70" t="str">
        <f>IF(매핑v2!K68="○","○","X")</f>
        <v>○</v>
      </c>
      <c r="BC70">
        <f>IF(매핑v2!K68="○",Y70,"")</f>
        <v>600000</v>
      </c>
      <c r="BD70" t="str">
        <f>IF(매핑v2!K68="○","○","X")</f>
        <v>○</v>
      </c>
      <c r="BE70">
        <f>IF(매핑v2!K68="○",AH70,"")</f>
        <v>320000</v>
      </c>
      <c r="BF70" t="str">
        <f>IF(매핑v2!K68="○","○","X")</f>
        <v>○</v>
      </c>
      <c r="BG70" t="str">
        <f>IF(매핑v2!L68="○",P70,"")</f>
        <v/>
      </c>
      <c r="BH70" t="str">
        <f>IF(매핑v2!L68="○","○","X")</f>
        <v>X</v>
      </c>
      <c r="BI70" t="str">
        <f>IF(매핑v2!L68="○",Y70,"")</f>
        <v/>
      </c>
      <c r="BJ70" t="s">
        <v>1102</v>
      </c>
      <c r="BK70" t="s">
        <v>1102</v>
      </c>
      <c r="BL70" t="s">
        <v>977</v>
      </c>
      <c r="BM70" t="s">
        <v>977</v>
      </c>
      <c r="BN70" t="s">
        <v>1102</v>
      </c>
      <c r="BO70" t="s">
        <v>1102</v>
      </c>
    </row>
    <row r="71" spans="1:67" x14ac:dyDescent="0.3">
      <c r="A71">
        <v>70</v>
      </c>
      <c r="B71" t="s">
        <v>1078</v>
      </c>
      <c r="C71" t="s">
        <v>769</v>
      </c>
      <c r="D71" t="s">
        <v>25</v>
      </c>
      <c r="E71" t="s">
        <v>801</v>
      </c>
      <c r="F71" t="s">
        <v>936</v>
      </c>
      <c r="G71" t="s">
        <v>967</v>
      </c>
      <c r="H71">
        <v>2</v>
      </c>
      <c r="K71">
        <v>1</v>
      </c>
      <c r="L71">
        <v>1</v>
      </c>
      <c r="M71">
        <v>80000</v>
      </c>
      <c r="P71">
        <f t="shared" si="7"/>
        <v>80000</v>
      </c>
      <c r="Q71">
        <v>2</v>
      </c>
      <c r="T71">
        <v>1</v>
      </c>
      <c r="U71">
        <v>4</v>
      </c>
      <c r="V71">
        <v>100000</v>
      </c>
      <c r="Y71">
        <f t="shared" si="8"/>
        <v>400000</v>
      </c>
      <c r="Z71">
        <v>2</v>
      </c>
      <c r="AC71">
        <v>1</v>
      </c>
      <c r="AD71">
        <v>4</v>
      </c>
      <c r="AE71">
        <v>10000</v>
      </c>
      <c r="AH71">
        <f t="shared" si="9"/>
        <v>40000</v>
      </c>
      <c r="AI71">
        <f>IF(매핑v2!H69="○",P71,"")</f>
        <v>80000</v>
      </c>
      <c r="AJ71" t="str">
        <f>IF(매핑v2!H69="○","○","X")</f>
        <v>○</v>
      </c>
      <c r="AK71">
        <f>IF(매핑v2!H69="○",Y71,"")</f>
        <v>400000</v>
      </c>
      <c r="AL71" t="str">
        <f>IF(매핑v2!H69="○","○","X")</f>
        <v>○</v>
      </c>
      <c r="AM71">
        <f>IF(매핑v2!H69="○",AH71,"")</f>
        <v>40000</v>
      </c>
      <c r="AN71" t="str">
        <f>IF(매핑v2!H69="○","○","X")</f>
        <v>○</v>
      </c>
      <c r="AO71" t="str">
        <f>IF(매핑v2!I69="○",P71,"")</f>
        <v/>
      </c>
      <c r="AP71" t="str">
        <f>IF(매핑v2!I69="○","○","X")</f>
        <v>X</v>
      </c>
      <c r="AQ71" t="str">
        <f>IF(매핑v2!I69="○",Y71,"")</f>
        <v/>
      </c>
      <c r="AR71" t="str">
        <f>IF(매핑v2!I69="○","○","X")</f>
        <v>X</v>
      </c>
      <c r="AS71" t="str">
        <f>IF(매핑v2!I69="○",AH71,"")</f>
        <v/>
      </c>
      <c r="AT71" t="str">
        <f>IF(매핑v2!I69="○","○","X")</f>
        <v>X</v>
      </c>
      <c r="AU71">
        <f>IF(매핑v2!J69="○",P71,"")</f>
        <v>80000</v>
      </c>
      <c r="AV71" t="str">
        <f>IF(매핑v2!J69="○","○","X")</f>
        <v>○</v>
      </c>
      <c r="AW71">
        <f>IF(매핑v2!J69="○",Y71,"")</f>
        <v>400000</v>
      </c>
      <c r="AX71" t="str">
        <f>IF(매핑v2!J69="○","○","X")</f>
        <v>○</v>
      </c>
      <c r="AY71">
        <f>IF(매핑v2!J69="○",AH71,"")</f>
        <v>40000</v>
      </c>
      <c r="AZ71" t="str">
        <f>IF(매핑v2!J69="○","○","X")</f>
        <v>○</v>
      </c>
      <c r="BA71" t="str">
        <f>IF(매핑v2!K69="○",P71,"")</f>
        <v/>
      </c>
      <c r="BB71" t="str">
        <f>IF(매핑v2!K69="○","○","X")</f>
        <v>X</v>
      </c>
      <c r="BC71" t="str">
        <f>IF(매핑v2!K69="○",Y71,"")</f>
        <v/>
      </c>
      <c r="BD71" t="str">
        <f>IF(매핑v2!K69="○","○","X")</f>
        <v>X</v>
      </c>
      <c r="BE71" t="str">
        <f>IF(매핑v2!K69="○",AH71,"")</f>
        <v/>
      </c>
      <c r="BF71" t="str">
        <f>IF(매핑v2!K69="○","○","X")</f>
        <v>X</v>
      </c>
      <c r="BG71" t="str">
        <f>IF(매핑v2!L69="○",P71,"")</f>
        <v/>
      </c>
      <c r="BH71" t="str">
        <f>IF(매핑v2!L69="○","○","X")</f>
        <v>X</v>
      </c>
      <c r="BI71" t="str">
        <f>IF(매핑v2!L69="○",Y71,"")</f>
        <v/>
      </c>
      <c r="BJ71" t="s">
        <v>977</v>
      </c>
      <c r="BK71" t="s">
        <v>1102</v>
      </c>
      <c r="BL71" t="s">
        <v>977</v>
      </c>
      <c r="BM71" t="s">
        <v>977</v>
      </c>
      <c r="BN71" t="s">
        <v>1102</v>
      </c>
      <c r="BO71" t="s">
        <v>1102</v>
      </c>
    </row>
    <row r="72" spans="1:67" x14ac:dyDescent="0.3">
      <c r="A72">
        <v>71</v>
      </c>
      <c r="B72" t="s">
        <v>712</v>
      </c>
      <c r="C72" t="s">
        <v>713</v>
      </c>
      <c r="D72" t="s">
        <v>25</v>
      </c>
      <c r="E72" t="s">
        <v>772</v>
      </c>
      <c r="F72" t="s">
        <v>937</v>
      </c>
      <c r="G72" t="s">
        <v>938</v>
      </c>
      <c r="H72">
        <v>2</v>
      </c>
      <c r="K72">
        <v>0.5</v>
      </c>
      <c r="L72">
        <v>1</v>
      </c>
      <c r="M72">
        <v>100000</v>
      </c>
      <c r="P72">
        <f t="shared" si="7"/>
        <v>50000</v>
      </c>
      <c r="Q72">
        <v>2</v>
      </c>
      <c r="T72">
        <f>1/12</f>
        <v>8.3333333333333329E-2</v>
      </c>
      <c r="U72">
        <v>3</v>
      </c>
      <c r="V72">
        <v>500000</v>
      </c>
      <c r="Y72">
        <f t="shared" si="8"/>
        <v>125000</v>
      </c>
      <c r="Z72">
        <v>2</v>
      </c>
      <c r="AC72">
        <f>1/12</f>
        <v>8.3333333333333329E-2</v>
      </c>
      <c r="AD72">
        <v>6</v>
      </c>
      <c r="AE72">
        <v>15000</v>
      </c>
      <c r="AH72">
        <f t="shared" si="9"/>
        <v>7500</v>
      </c>
      <c r="AI72">
        <f>IF(매핑v2!H70="○",P72,"")</f>
        <v>50000</v>
      </c>
      <c r="AJ72" t="str">
        <f>IF(매핑v2!H70="○","○","X")</f>
        <v>○</v>
      </c>
      <c r="AK72">
        <f>IF(매핑v2!H70="○",Y72,"")</f>
        <v>125000</v>
      </c>
      <c r="AL72" t="str">
        <f>IF(매핑v2!H70="○","○","X")</f>
        <v>○</v>
      </c>
      <c r="AM72">
        <f>IF(매핑v2!H70="○",AH72,"")</f>
        <v>7500</v>
      </c>
      <c r="AN72" t="str">
        <f>IF(매핑v2!H70="○","○","X")</f>
        <v>○</v>
      </c>
      <c r="AO72">
        <f>IF(매핑v2!I70="○",P72,"")</f>
        <v>50000</v>
      </c>
      <c r="AP72" t="str">
        <f>IF(매핑v2!I70="○","○","X")</f>
        <v>○</v>
      </c>
      <c r="AQ72">
        <f>IF(매핑v2!I70="○",Y72,"")</f>
        <v>125000</v>
      </c>
      <c r="AR72" t="str">
        <f>IF(매핑v2!I70="○","○","X")</f>
        <v>○</v>
      </c>
      <c r="AS72">
        <f>IF(매핑v2!I70="○",AH72,"")</f>
        <v>7500</v>
      </c>
      <c r="AT72" t="str">
        <f>IF(매핑v2!I70="○","○","X")</f>
        <v>○</v>
      </c>
      <c r="AU72">
        <f>IF(매핑v2!J70="○",P72,"")</f>
        <v>50000</v>
      </c>
      <c r="AV72" t="str">
        <f>IF(매핑v2!J70="○","○","X")</f>
        <v>○</v>
      </c>
      <c r="AW72">
        <f>IF(매핑v2!J70="○",Y72,"")</f>
        <v>125000</v>
      </c>
      <c r="AX72" t="str">
        <f>IF(매핑v2!J70="○","○","X")</f>
        <v>○</v>
      </c>
      <c r="AY72">
        <f>IF(매핑v2!J70="○",AH72,"")</f>
        <v>7500</v>
      </c>
      <c r="AZ72" t="str">
        <f>IF(매핑v2!J70="○","○","X")</f>
        <v>○</v>
      </c>
      <c r="BA72">
        <f>IF(매핑v2!K70="○",P72,"")</f>
        <v>50000</v>
      </c>
      <c r="BB72" t="str">
        <f>IF(매핑v2!K70="○","○","X")</f>
        <v>○</v>
      </c>
      <c r="BC72">
        <f>IF(매핑v2!K70="○",Y72,"")</f>
        <v>125000</v>
      </c>
      <c r="BD72" t="str">
        <f>IF(매핑v2!K70="○","○","X")</f>
        <v>○</v>
      </c>
      <c r="BE72">
        <f>IF(매핑v2!K70="○",AH72,"")</f>
        <v>7500</v>
      </c>
      <c r="BF72" t="str">
        <f>IF(매핑v2!K70="○","○","X")</f>
        <v>○</v>
      </c>
      <c r="BG72">
        <f>IF(매핑v2!L70="○",P72,"")</f>
        <v>50000</v>
      </c>
      <c r="BH72" t="str">
        <f>IF(매핑v2!L70="○","○","X")</f>
        <v>○</v>
      </c>
      <c r="BI72">
        <f>IF(매핑v2!L70="○",Y72,"")</f>
        <v>125000</v>
      </c>
      <c r="BJ72" t="s">
        <v>977</v>
      </c>
      <c r="BK72" t="s">
        <v>1102</v>
      </c>
      <c r="BL72" t="s">
        <v>977</v>
      </c>
      <c r="BM72" t="s">
        <v>977</v>
      </c>
      <c r="BN72" t="s">
        <v>977</v>
      </c>
      <c r="BO72" t="s">
        <v>1102</v>
      </c>
    </row>
    <row r="73" spans="1:67" x14ac:dyDescent="0.3">
      <c r="A73">
        <v>72</v>
      </c>
      <c r="B73" t="s">
        <v>712</v>
      </c>
      <c r="C73" t="s">
        <v>714</v>
      </c>
      <c r="D73" t="s">
        <v>16</v>
      </c>
      <c r="E73" t="s">
        <v>774</v>
      </c>
      <c r="F73" t="s">
        <v>939</v>
      </c>
      <c r="G73" t="s">
        <v>940</v>
      </c>
      <c r="H73">
        <v>2</v>
      </c>
      <c r="K73">
        <f>1/6</f>
        <v>0.16666666666666666</v>
      </c>
      <c r="L73">
        <v>1</v>
      </c>
      <c r="M73">
        <v>300000</v>
      </c>
      <c r="P73">
        <f t="shared" si="7"/>
        <v>50000</v>
      </c>
      <c r="Q73">
        <v>2</v>
      </c>
      <c r="T73">
        <f>1/12</f>
        <v>8.3333333333333329E-2</v>
      </c>
      <c r="U73">
        <v>2</v>
      </c>
      <c r="V73">
        <v>200000</v>
      </c>
      <c r="Y73">
        <f t="shared" si="8"/>
        <v>33333.333333333328</v>
      </c>
      <c r="Z73">
        <v>2</v>
      </c>
      <c r="AC73">
        <f>1/12</f>
        <v>8.3333333333333329E-2</v>
      </c>
      <c r="AD73">
        <v>2</v>
      </c>
      <c r="AE73">
        <v>800000</v>
      </c>
      <c r="AH73">
        <f t="shared" si="9"/>
        <v>133333.33333333331</v>
      </c>
      <c r="AI73">
        <f>IF(매핑v2!H71="○",P73,"")</f>
        <v>50000</v>
      </c>
      <c r="AJ73" t="str">
        <f>IF(매핑v2!H71="○","○","X")</f>
        <v>○</v>
      </c>
      <c r="AK73">
        <f>IF(매핑v2!H71="○",Y73,"")</f>
        <v>33333.333333333328</v>
      </c>
      <c r="AL73" t="str">
        <f>IF(매핑v2!H71="○","○","X")</f>
        <v>○</v>
      </c>
      <c r="AM73">
        <f>IF(매핑v2!H71="○",AH73,"")</f>
        <v>133333.33333333331</v>
      </c>
      <c r="AN73" t="str">
        <f>IF(매핑v2!H71="○","○","X")</f>
        <v>○</v>
      </c>
      <c r="AO73">
        <f>IF(매핑v2!I71="○",P73,"")</f>
        <v>50000</v>
      </c>
      <c r="AP73" t="str">
        <f>IF(매핑v2!I71="○","○","X")</f>
        <v>○</v>
      </c>
      <c r="AQ73">
        <f>IF(매핑v2!I71="○",Y73,"")</f>
        <v>33333.333333333328</v>
      </c>
      <c r="AR73" t="str">
        <f>IF(매핑v2!I71="○","○","X")</f>
        <v>○</v>
      </c>
      <c r="AS73">
        <f>IF(매핑v2!I71="○",AH73,"")</f>
        <v>133333.33333333331</v>
      </c>
      <c r="AT73" t="str">
        <f>IF(매핑v2!I71="○","○","X")</f>
        <v>○</v>
      </c>
      <c r="AU73">
        <f>IF(매핑v2!J71="○",P73,"")</f>
        <v>50000</v>
      </c>
      <c r="AV73" t="str">
        <f>IF(매핑v2!J71="○","○","X")</f>
        <v>○</v>
      </c>
      <c r="AW73">
        <f>IF(매핑v2!J71="○",Y73,"")</f>
        <v>33333.333333333328</v>
      </c>
      <c r="AX73" t="str">
        <f>IF(매핑v2!J71="○","○","X")</f>
        <v>○</v>
      </c>
      <c r="AY73">
        <f>IF(매핑v2!J71="○",AH73,"")</f>
        <v>133333.33333333331</v>
      </c>
      <c r="AZ73" t="str">
        <f>IF(매핑v2!J71="○","○","X")</f>
        <v>○</v>
      </c>
      <c r="BA73" t="str">
        <f>IF(매핑v2!K71="○",P73,"")</f>
        <v/>
      </c>
      <c r="BB73" t="str">
        <f>IF(매핑v2!K71="○","○","X")</f>
        <v>X</v>
      </c>
      <c r="BC73" t="str">
        <f>IF(매핑v2!K71="○",Y73,"")</f>
        <v/>
      </c>
      <c r="BD73" t="str">
        <f>IF(매핑v2!K71="○","○","X")</f>
        <v>X</v>
      </c>
      <c r="BE73" t="str">
        <f>IF(매핑v2!K71="○",AH73,"")</f>
        <v/>
      </c>
      <c r="BF73" t="str">
        <f>IF(매핑v2!K71="○","○","X")</f>
        <v>X</v>
      </c>
      <c r="BG73">
        <f>IF(매핑v2!L71="○",P73,"")</f>
        <v>50000</v>
      </c>
      <c r="BH73" t="str">
        <f>IF(매핑v2!L71="○","○","X")</f>
        <v>○</v>
      </c>
      <c r="BI73">
        <f>IF(매핑v2!L71="○",Y73,"")</f>
        <v>33333.333333333328</v>
      </c>
      <c r="BJ73" t="s">
        <v>977</v>
      </c>
      <c r="BK73" t="s">
        <v>1102</v>
      </c>
      <c r="BL73" t="s">
        <v>977</v>
      </c>
      <c r="BM73" t="s">
        <v>977</v>
      </c>
      <c r="BN73" t="s">
        <v>977</v>
      </c>
      <c r="BO73" t="s">
        <v>1102</v>
      </c>
    </row>
    <row r="74" spans="1:67" x14ac:dyDescent="0.3">
      <c r="A74">
        <v>73</v>
      </c>
      <c r="B74" t="s">
        <v>712</v>
      </c>
      <c r="C74" t="s">
        <v>1079</v>
      </c>
      <c r="D74" t="s">
        <v>1080</v>
      </c>
      <c r="E74" t="s">
        <v>1081</v>
      </c>
      <c r="F74" t="s">
        <v>1082</v>
      </c>
      <c r="G74" t="s">
        <v>1083</v>
      </c>
      <c r="H74">
        <v>2</v>
      </c>
      <c r="K74">
        <f>1/6</f>
        <v>0.16666666666666666</v>
      </c>
      <c r="L74">
        <v>1</v>
      </c>
      <c r="M74">
        <v>90000</v>
      </c>
      <c r="P74">
        <f t="shared" si="7"/>
        <v>15000</v>
      </c>
      <c r="Q74">
        <v>2</v>
      </c>
      <c r="T74">
        <f>1/12</f>
        <v>8.3333333333333329E-2</v>
      </c>
      <c r="U74">
        <v>2</v>
      </c>
      <c r="V74">
        <v>1000000</v>
      </c>
      <c r="Y74">
        <f t="shared" si="8"/>
        <v>166666.66666666666</v>
      </c>
      <c r="Z74">
        <v>2</v>
      </c>
      <c r="AC74">
        <f>1/12</f>
        <v>8.3333333333333329E-2</v>
      </c>
      <c r="AD74">
        <v>1</v>
      </c>
      <c r="AE74">
        <v>250000</v>
      </c>
      <c r="AH74">
        <f t="shared" si="9"/>
        <v>20833.333333333332</v>
      </c>
    </row>
    <row r="75" spans="1:67" x14ac:dyDescent="0.3">
      <c r="A75">
        <v>74</v>
      </c>
      <c r="B75" t="s">
        <v>715</v>
      </c>
      <c r="C75" t="s">
        <v>716</v>
      </c>
      <c r="D75" t="s">
        <v>47</v>
      </c>
      <c r="E75" t="s">
        <v>776</v>
      </c>
      <c r="F75" t="s">
        <v>941</v>
      </c>
      <c r="G75" t="s">
        <v>942</v>
      </c>
      <c r="H75">
        <v>2</v>
      </c>
      <c r="I75">
        <v>100000</v>
      </c>
      <c r="J75">
        <v>5</v>
      </c>
      <c r="P75" t="str">
        <f t="shared" si="7"/>
        <v/>
      </c>
      <c r="Q75">
        <v>1</v>
      </c>
      <c r="R75">
        <v>400000</v>
      </c>
      <c r="S75">
        <v>1</v>
      </c>
      <c r="Y75">
        <f t="shared" si="8"/>
        <v>33333.333333333336</v>
      </c>
      <c r="Z75">
        <v>1</v>
      </c>
      <c r="AA75">
        <v>20000</v>
      </c>
      <c r="AB75">
        <v>1</v>
      </c>
      <c r="AH75">
        <f t="shared" si="9"/>
        <v>1666.6666666666667</v>
      </c>
      <c r="AI75" t="str">
        <f>IF(매핑v2!H72="○",P75,"")</f>
        <v/>
      </c>
      <c r="AJ75" t="str">
        <f>IF(매핑v2!H72="○","○","X")</f>
        <v>X</v>
      </c>
      <c r="AK75" t="str">
        <f>IF(매핑v2!H72="○",Y75,"")</f>
        <v/>
      </c>
      <c r="AL75" t="str">
        <f>IF(매핑v2!H72="○","○","X")</f>
        <v>X</v>
      </c>
      <c r="AM75" t="str">
        <f>IF(매핑v2!H72="○",AH75,"")</f>
        <v/>
      </c>
      <c r="AN75" t="str">
        <f>IF(매핑v2!H72="○","○","X")</f>
        <v>X</v>
      </c>
      <c r="AO75" t="str">
        <f>IF(매핑v2!I72="○",P75,"")</f>
        <v/>
      </c>
      <c r="AP75" t="str">
        <f>IF(매핑v2!I72="○","○","X")</f>
        <v>X</v>
      </c>
      <c r="AQ75" t="str">
        <f>IF(매핑v2!I72="○",Y75,"")</f>
        <v/>
      </c>
      <c r="AR75" t="str">
        <f>IF(매핑v2!I72="○","○","X")</f>
        <v>X</v>
      </c>
      <c r="AS75" t="str">
        <f>IF(매핑v2!I72="○",AH75,"")</f>
        <v/>
      </c>
      <c r="AT75" t="str">
        <f>IF(매핑v2!I72="○","○","X")</f>
        <v>X</v>
      </c>
      <c r="AU75" t="str">
        <f>IF(매핑v2!J72="○",P75,"")</f>
        <v/>
      </c>
      <c r="AV75" t="str">
        <f>IF(매핑v2!J72="○","○","X")</f>
        <v>X</v>
      </c>
      <c r="AW75" t="str">
        <f>IF(매핑v2!J72="○",Y75,"")</f>
        <v/>
      </c>
      <c r="AX75" t="str">
        <f>IF(매핑v2!J72="○","○","X")</f>
        <v>X</v>
      </c>
      <c r="AY75" t="str">
        <f>IF(매핑v2!J72="○",AH75,"")</f>
        <v/>
      </c>
      <c r="AZ75" t="str">
        <f>IF(매핑v2!J72="○","○","X")</f>
        <v>X</v>
      </c>
      <c r="BA75" t="str">
        <f>IF(매핑v2!K72="○",P75,"")</f>
        <v/>
      </c>
      <c r="BB75" t="str">
        <f>IF(매핑v2!K72="○","○","X")</f>
        <v>○</v>
      </c>
      <c r="BC75">
        <f>IF(매핑v2!K72="○",Y75,"")</f>
        <v>33333.333333333336</v>
      </c>
      <c r="BD75" t="str">
        <f>IF(매핑v2!K72="○","○","X")</f>
        <v>○</v>
      </c>
      <c r="BE75">
        <f>IF(매핑v2!K72="○",AH75,"")</f>
        <v>1666.6666666666667</v>
      </c>
      <c r="BF75" t="str">
        <f>IF(매핑v2!K72="○","○","X")</f>
        <v>○</v>
      </c>
      <c r="BG75" t="str">
        <f>IF(매핑v2!L72="○",P75,"")</f>
        <v/>
      </c>
      <c r="BH75" t="str">
        <f>IF(매핑v2!L72="○","○","X")</f>
        <v>X</v>
      </c>
      <c r="BI75" t="str">
        <f>IF(매핑v2!L72="○",Y75,"")</f>
        <v/>
      </c>
      <c r="BJ75" t="s">
        <v>977</v>
      </c>
      <c r="BK75" t="s">
        <v>1102</v>
      </c>
      <c r="BM75" t="s">
        <v>977</v>
      </c>
      <c r="BN75" t="s">
        <v>1102</v>
      </c>
    </row>
    <row r="76" spans="1:67" x14ac:dyDescent="0.3">
      <c r="A76">
        <v>75</v>
      </c>
      <c r="B76" t="s">
        <v>715</v>
      </c>
      <c r="C76" t="s">
        <v>717</v>
      </c>
      <c r="D76" t="s">
        <v>104</v>
      </c>
      <c r="E76" t="s">
        <v>802</v>
      </c>
      <c r="F76" t="s">
        <v>943</v>
      </c>
      <c r="G76" t="s">
        <v>944</v>
      </c>
      <c r="H76">
        <v>2</v>
      </c>
      <c r="P76" t="str">
        <f t="shared" si="7"/>
        <v/>
      </c>
      <c r="Q76">
        <v>1</v>
      </c>
      <c r="R76">
        <v>500000</v>
      </c>
      <c r="S76">
        <v>2</v>
      </c>
      <c r="Y76">
        <f t="shared" si="8"/>
        <v>20833.333333333332</v>
      </c>
      <c r="Z76">
        <v>1</v>
      </c>
      <c r="AA76">
        <v>40000</v>
      </c>
      <c r="AB76">
        <v>2</v>
      </c>
      <c r="AH76">
        <f t="shared" si="9"/>
        <v>1666.6666666666667</v>
      </c>
      <c r="AI76" t="str">
        <f>IF(매핑v2!H73="○",P76,"")</f>
        <v/>
      </c>
      <c r="AJ76" t="str">
        <f>IF(매핑v2!H73="○","○","X")</f>
        <v>X</v>
      </c>
      <c r="AK76" t="str">
        <f>IF(매핑v2!H73="○",Y76,"")</f>
        <v/>
      </c>
      <c r="AL76" t="str">
        <f>IF(매핑v2!H73="○","○","X")</f>
        <v>X</v>
      </c>
      <c r="AM76" t="str">
        <f>IF(매핑v2!H73="○",AH76,"")</f>
        <v/>
      </c>
      <c r="AN76" t="str">
        <f>IF(매핑v2!H73="○","○","X")</f>
        <v>X</v>
      </c>
      <c r="AO76" t="str">
        <f>IF(매핑v2!I73="○",P76,"")</f>
        <v/>
      </c>
      <c r="AP76" t="str">
        <f>IF(매핑v2!I73="○","○","X")</f>
        <v>X</v>
      </c>
      <c r="AQ76" t="str">
        <f>IF(매핑v2!I73="○",Y76,"")</f>
        <v/>
      </c>
      <c r="AR76" t="str">
        <f>IF(매핑v2!I73="○","○","X")</f>
        <v>X</v>
      </c>
      <c r="AS76" t="str">
        <f>IF(매핑v2!I73="○",AH76,"")</f>
        <v/>
      </c>
      <c r="AT76" t="str">
        <f>IF(매핑v2!I73="○","○","X")</f>
        <v>X</v>
      </c>
      <c r="AU76" t="str">
        <f>IF(매핑v2!J73="○",P76,"")</f>
        <v/>
      </c>
      <c r="AV76" t="str">
        <f>IF(매핑v2!J73="○","○","X")</f>
        <v>X</v>
      </c>
      <c r="AW76" t="str">
        <f>IF(매핑v2!J73="○",Y76,"")</f>
        <v/>
      </c>
      <c r="AX76" t="str">
        <f>IF(매핑v2!J73="○","○","X")</f>
        <v>X</v>
      </c>
      <c r="AY76" t="str">
        <f>IF(매핑v2!J73="○",AH76,"")</f>
        <v/>
      </c>
      <c r="AZ76" t="str">
        <f>IF(매핑v2!J73="○","○","X")</f>
        <v>X</v>
      </c>
      <c r="BA76" t="str">
        <f>IF(매핑v2!K73="○",P76,"")</f>
        <v/>
      </c>
      <c r="BB76" t="str">
        <f>IF(매핑v2!K73="○","○","X")</f>
        <v>○</v>
      </c>
      <c r="BC76">
        <f>IF(매핑v2!K73="○",Y76,"")</f>
        <v>20833.333333333332</v>
      </c>
      <c r="BD76" t="str">
        <f>IF(매핑v2!K73="○","○","X")</f>
        <v>○</v>
      </c>
      <c r="BE76">
        <f>IF(매핑v2!K73="○",AH76,"")</f>
        <v>1666.6666666666667</v>
      </c>
      <c r="BF76" t="str">
        <f>IF(매핑v2!K73="○","○","X")</f>
        <v>○</v>
      </c>
      <c r="BG76" t="str">
        <f>IF(매핑v2!L73="○",P76,"")</f>
        <v/>
      </c>
      <c r="BH76" t="str">
        <f>IF(매핑v2!L73="○","○","X")</f>
        <v>X</v>
      </c>
      <c r="BI76" t="str">
        <f>IF(매핑v2!L73="○",Y76,"")</f>
        <v/>
      </c>
      <c r="BJ76" t="s">
        <v>977</v>
      </c>
      <c r="BK76" t="s">
        <v>1102</v>
      </c>
      <c r="BM76" t="s">
        <v>977</v>
      </c>
      <c r="BN76" t="s">
        <v>1102</v>
      </c>
    </row>
    <row r="77" spans="1:67" x14ac:dyDescent="0.3">
      <c r="A77">
        <v>76</v>
      </c>
      <c r="B77" t="s">
        <v>715</v>
      </c>
      <c r="C77" t="s">
        <v>718</v>
      </c>
      <c r="D77" t="s">
        <v>47</v>
      </c>
      <c r="E77" t="s">
        <v>778</v>
      </c>
      <c r="F77" t="s">
        <v>945</v>
      </c>
      <c r="G77" t="s">
        <v>946</v>
      </c>
      <c r="H77">
        <v>1</v>
      </c>
      <c r="I77">
        <f>1000000-800000</f>
        <v>200000</v>
      </c>
      <c r="J77">
        <v>3</v>
      </c>
      <c r="P77">
        <f t="shared" si="7"/>
        <v>5555.5555555555557</v>
      </c>
      <c r="Q77">
        <v>1</v>
      </c>
      <c r="R77">
        <f>1500000-500000</f>
        <v>1000000</v>
      </c>
      <c r="S77">
        <v>3</v>
      </c>
      <c r="Y77">
        <f t="shared" si="8"/>
        <v>27777.777777777777</v>
      </c>
      <c r="Z77">
        <v>1</v>
      </c>
      <c r="AA77">
        <v>120000</v>
      </c>
      <c r="AB77">
        <v>0.5</v>
      </c>
      <c r="AH77">
        <f t="shared" si="9"/>
        <v>20000</v>
      </c>
      <c r="AI77" t="str">
        <f>IF(매핑v2!H74="○",P77,"")</f>
        <v/>
      </c>
      <c r="AJ77" t="str">
        <f>IF(매핑v2!H74="○","○","X")</f>
        <v>X</v>
      </c>
      <c r="AK77" t="str">
        <f>IF(매핑v2!H74="○",Y77,"")</f>
        <v/>
      </c>
      <c r="AL77" t="str">
        <f>IF(매핑v2!H74="○","○","X")</f>
        <v>X</v>
      </c>
      <c r="AM77" t="str">
        <f>IF(매핑v2!H74="○",AH77,"")</f>
        <v/>
      </c>
      <c r="AN77" t="str">
        <f>IF(매핑v2!H74="○","○","X")</f>
        <v>X</v>
      </c>
      <c r="AO77" t="str">
        <f>IF(매핑v2!I74="○",P77,"")</f>
        <v/>
      </c>
      <c r="AP77" t="str">
        <f>IF(매핑v2!I74="○","○","X")</f>
        <v>X</v>
      </c>
      <c r="AQ77" t="str">
        <f>IF(매핑v2!I74="○",Y77,"")</f>
        <v/>
      </c>
      <c r="AR77" t="str">
        <f>IF(매핑v2!I74="○","○","X")</f>
        <v>X</v>
      </c>
      <c r="AS77" t="str">
        <f>IF(매핑v2!I74="○",AH77,"")</f>
        <v/>
      </c>
      <c r="AT77" t="str">
        <f>IF(매핑v2!I74="○","○","X")</f>
        <v>X</v>
      </c>
      <c r="AU77" t="str">
        <f>IF(매핑v2!J74="○",P77,"")</f>
        <v/>
      </c>
      <c r="AV77" t="str">
        <f>IF(매핑v2!J74="○","○","X")</f>
        <v>X</v>
      </c>
      <c r="AW77" t="str">
        <f>IF(매핑v2!J74="○",Y77,"")</f>
        <v/>
      </c>
      <c r="AX77" t="str">
        <f>IF(매핑v2!J74="○","○","X")</f>
        <v>X</v>
      </c>
      <c r="AY77" t="str">
        <f>IF(매핑v2!J74="○",AH77,"")</f>
        <v/>
      </c>
      <c r="AZ77" t="str">
        <f>IF(매핑v2!J74="○","○","X")</f>
        <v>X</v>
      </c>
      <c r="BA77">
        <f>IF(매핑v2!K74="○",P77,"")</f>
        <v>5555.5555555555557</v>
      </c>
      <c r="BB77" t="str">
        <f>IF(매핑v2!K74="○","○","X")</f>
        <v>○</v>
      </c>
      <c r="BC77">
        <f>IF(매핑v2!K74="○",Y77,"")</f>
        <v>27777.777777777777</v>
      </c>
      <c r="BD77" t="str">
        <f>IF(매핑v2!K74="○","○","X")</f>
        <v>○</v>
      </c>
      <c r="BE77">
        <f>IF(매핑v2!K74="○",AH77,"")</f>
        <v>20000</v>
      </c>
      <c r="BF77" t="str">
        <f>IF(매핑v2!K74="○","○","X")</f>
        <v>○</v>
      </c>
      <c r="BG77" t="str">
        <f>IF(매핑v2!L74="○",P77,"")</f>
        <v/>
      </c>
      <c r="BH77" t="str">
        <f>IF(매핑v2!L74="○","○","X")</f>
        <v>X</v>
      </c>
      <c r="BI77" t="str">
        <f>IF(매핑v2!L74="○",Y77,"")</f>
        <v/>
      </c>
      <c r="BJ77" t="s">
        <v>977</v>
      </c>
      <c r="BK77" t="s">
        <v>1102</v>
      </c>
      <c r="BM77" t="s">
        <v>977</v>
      </c>
      <c r="BN77" t="s">
        <v>977</v>
      </c>
    </row>
    <row r="78" spans="1:67" x14ac:dyDescent="0.3">
      <c r="A78">
        <v>77</v>
      </c>
      <c r="B78" t="s">
        <v>72</v>
      </c>
      <c r="C78" t="s">
        <v>719</v>
      </c>
      <c r="D78" t="s">
        <v>149</v>
      </c>
      <c r="E78" t="s">
        <v>839</v>
      </c>
      <c r="F78" t="s">
        <v>310</v>
      </c>
      <c r="G78" t="s">
        <v>968</v>
      </c>
      <c r="H78">
        <v>2</v>
      </c>
      <c r="P78" t="str">
        <f t="shared" si="7"/>
        <v/>
      </c>
      <c r="Q78">
        <v>2</v>
      </c>
      <c r="T78">
        <v>1</v>
      </c>
      <c r="U78">
        <v>1</v>
      </c>
      <c r="V78">
        <v>300000</v>
      </c>
      <c r="Y78">
        <f t="shared" si="8"/>
        <v>300000</v>
      </c>
      <c r="Z78">
        <v>2</v>
      </c>
      <c r="AC78">
        <v>1</v>
      </c>
      <c r="AD78">
        <v>1</v>
      </c>
      <c r="AE78">
        <v>150000</v>
      </c>
      <c r="AH78">
        <f t="shared" si="9"/>
        <v>150000</v>
      </c>
      <c r="AI78" t="str">
        <f>IF(매핑v2!H75="○",P78,"")</f>
        <v/>
      </c>
      <c r="AJ78" t="str">
        <f>IF(매핑v2!H75="○","○","X")</f>
        <v>○</v>
      </c>
      <c r="AK78">
        <f>IF(매핑v2!H75="○",Y78,"")</f>
        <v>300000</v>
      </c>
      <c r="AL78" t="str">
        <f>IF(매핑v2!H75="○","○","X")</f>
        <v>○</v>
      </c>
      <c r="AM78">
        <f>IF(매핑v2!H75="○",AH78,"")</f>
        <v>150000</v>
      </c>
      <c r="AN78" t="str">
        <f>IF(매핑v2!H75="○","○","X")</f>
        <v>○</v>
      </c>
      <c r="AO78" t="str">
        <f>IF(매핑v2!I75="○",P78,"")</f>
        <v/>
      </c>
      <c r="AP78" t="str">
        <f>IF(매핑v2!I75="○","○","X")</f>
        <v>○</v>
      </c>
      <c r="AQ78">
        <f>IF(매핑v2!I75="○",Y78,"")</f>
        <v>300000</v>
      </c>
      <c r="AR78" t="str">
        <f>IF(매핑v2!I75="○","○","X")</f>
        <v>○</v>
      </c>
      <c r="AS78">
        <f>IF(매핑v2!I75="○",AH78,"")</f>
        <v>150000</v>
      </c>
      <c r="AT78" t="str">
        <f>IF(매핑v2!I75="○","○","X")</f>
        <v>○</v>
      </c>
      <c r="AU78" t="str">
        <f>IF(매핑v2!J75="○",P78,"")</f>
        <v/>
      </c>
      <c r="AV78" t="str">
        <f>IF(매핑v2!J75="○","○","X")</f>
        <v>○</v>
      </c>
      <c r="AW78">
        <f>IF(매핑v2!J75="○",Y78,"")</f>
        <v>300000</v>
      </c>
      <c r="AX78" t="str">
        <f>IF(매핑v2!J75="○","○","X")</f>
        <v>○</v>
      </c>
      <c r="AY78">
        <f>IF(매핑v2!J75="○",AH78,"")</f>
        <v>150000</v>
      </c>
      <c r="AZ78" t="str">
        <f>IF(매핑v2!J75="○","○","X")</f>
        <v>○</v>
      </c>
      <c r="BA78" t="str">
        <f>IF(매핑v2!K75="○",P78,"")</f>
        <v/>
      </c>
      <c r="BB78" t="str">
        <f>IF(매핑v2!K75="○","○","X")</f>
        <v>○</v>
      </c>
      <c r="BC78">
        <f>IF(매핑v2!K75="○",Y78,"")</f>
        <v>300000</v>
      </c>
      <c r="BD78" t="str">
        <f>IF(매핑v2!K75="○","○","X")</f>
        <v>○</v>
      </c>
      <c r="BE78">
        <f>IF(매핑v2!K75="○",AH78,"")</f>
        <v>150000</v>
      </c>
      <c r="BF78" t="str">
        <f>IF(매핑v2!K75="○","○","X")</f>
        <v>○</v>
      </c>
      <c r="BG78" t="str">
        <f>IF(매핑v2!L75="○",P78,"")</f>
        <v/>
      </c>
      <c r="BH78" t="str">
        <f>IF(매핑v2!L75="○","○","X")</f>
        <v>○</v>
      </c>
      <c r="BI78">
        <f>IF(매핑v2!L75="○",Y78,"")</f>
        <v>300000</v>
      </c>
      <c r="BJ78" t="s">
        <v>977</v>
      </c>
      <c r="BK78" t="s">
        <v>1102</v>
      </c>
      <c r="BL78" t="s">
        <v>1102</v>
      </c>
      <c r="BM78" t="s">
        <v>1102</v>
      </c>
      <c r="BN78" t="s">
        <v>1102</v>
      </c>
      <c r="BO78" t="s">
        <v>1102</v>
      </c>
    </row>
    <row r="79" spans="1:67" x14ac:dyDescent="0.3">
      <c r="A79">
        <v>78</v>
      </c>
      <c r="B79" t="s">
        <v>72</v>
      </c>
      <c r="C79" t="s">
        <v>721</v>
      </c>
      <c r="D79" t="s">
        <v>178</v>
      </c>
      <c r="E79" t="s">
        <v>780</v>
      </c>
      <c r="F79" t="s">
        <v>424</v>
      </c>
      <c r="G79" t="s">
        <v>540</v>
      </c>
      <c r="H79">
        <v>2</v>
      </c>
      <c r="P79" t="str">
        <f t="shared" si="7"/>
        <v/>
      </c>
      <c r="Q79">
        <v>2</v>
      </c>
      <c r="Y79" t="str">
        <f t="shared" si="8"/>
        <v/>
      </c>
      <c r="Z79">
        <v>2</v>
      </c>
      <c r="AC79">
        <v>1</v>
      </c>
      <c r="AD79">
        <v>2</v>
      </c>
      <c r="AE79">
        <v>10000</v>
      </c>
      <c r="AH79">
        <f t="shared" si="9"/>
        <v>20000</v>
      </c>
      <c r="AI79" t="str">
        <f>IF(매핑v2!H76="○",P79,"")</f>
        <v/>
      </c>
      <c r="AJ79" t="str">
        <f>IF(매핑v2!H76="○","○","X")</f>
        <v>○</v>
      </c>
      <c r="AK79" t="str">
        <f>IF(매핑v2!H76="○",Y79,"")</f>
        <v/>
      </c>
      <c r="AL79" t="str">
        <f>IF(매핑v2!H76="○","○","X")</f>
        <v>○</v>
      </c>
      <c r="AM79">
        <f>IF(매핑v2!H76="○",AH79,"")</f>
        <v>20000</v>
      </c>
      <c r="AN79" t="str">
        <f>IF(매핑v2!H76="○","○","X")</f>
        <v>○</v>
      </c>
      <c r="AO79" t="str">
        <f>IF(매핑v2!I76="○",P79,"")</f>
        <v/>
      </c>
      <c r="AP79" t="str">
        <f>IF(매핑v2!I76="○","○","X")</f>
        <v>○</v>
      </c>
      <c r="AQ79" t="str">
        <f>IF(매핑v2!I76="○",Y79,"")</f>
        <v/>
      </c>
      <c r="AR79" t="str">
        <f>IF(매핑v2!I76="○","○","X")</f>
        <v>○</v>
      </c>
      <c r="AS79">
        <f>IF(매핑v2!I76="○",AH79,"")</f>
        <v>20000</v>
      </c>
      <c r="AT79" t="str">
        <f>IF(매핑v2!I76="○","○","X")</f>
        <v>○</v>
      </c>
      <c r="AU79" t="str">
        <f>IF(매핑v2!J76="○",P79,"")</f>
        <v/>
      </c>
      <c r="AV79" t="str">
        <f>IF(매핑v2!J76="○","○","X")</f>
        <v>○</v>
      </c>
      <c r="AW79" t="str">
        <f>IF(매핑v2!J76="○",Y79,"")</f>
        <v/>
      </c>
      <c r="AX79" t="str">
        <f>IF(매핑v2!J76="○","○","X")</f>
        <v>○</v>
      </c>
      <c r="AY79">
        <f>IF(매핑v2!J76="○",AH79,"")</f>
        <v>20000</v>
      </c>
      <c r="AZ79" t="str">
        <f>IF(매핑v2!J76="○","○","X")</f>
        <v>○</v>
      </c>
      <c r="BA79" t="str">
        <f>IF(매핑v2!K76="○",P79,"")</f>
        <v/>
      </c>
      <c r="BB79" t="str">
        <f>IF(매핑v2!K76="○","○","X")</f>
        <v>○</v>
      </c>
      <c r="BC79" t="str">
        <f>IF(매핑v2!K76="○",Y79,"")</f>
        <v/>
      </c>
      <c r="BD79" t="str">
        <f>IF(매핑v2!K76="○","○","X")</f>
        <v>○</v>
      </c>
      <c r="BE79">
        <f>IF(매핑v2!K76="○",AH79,"")</f>
        <v>20000</v>
      </c>
      <c r="BF79" t="str">
        <f>IF(매핑v2!K76="○","○","X")</f>
        <v>○</v>
      </c>
      <c r="BG79" t="str">
        <f>IF(매핑v2!L76="○",P79,"")</f>
        <v/>
      </c>
      <c r="BH79" t="str">
        <f>IF(매핑v2!L76="○","○","X")</f>
        <v>○</v>
      </c>
      <c r="BI79" t="str">
        <f>IF(매핑v2!L76="○",Y79,"")</f>
        <v/>
      </c>
      <c r="BJ79" t="s">
        <v>977</v>
      </c>
      <c r="BK79" t="s">
        <v>1102</v>
      </c>
      <c r="BL79" t="s">
        <v>977</v>
      </c>
      <c r="BM79" t="s">
        <v>1102</v>
      </c>
      <c r="BN79" t="s">
        <v>1102</v>
      </c>
      <c r="BO79" t="s">
        <v>1102</v>
      </c>
    </row>
    <row r="80" spans="1:67" x14ac:dyDescent="0.3">
      <c r="A80">
        <v>79</v>
      </c>
      <c r="B80" t="s">
        <v>72</v>
      </c>
      <c r="C80" t="s">
        <v>723</v>
      </c>
      <c r="D80" t="s">
        <v>74</v>
      </c>
      <c r="E80" t="s">
        <v>725</v>
      </c>
      <c r="F80" t="s">
        <v>963</v>
      </c>
      <c r="G80" t="s">
        <v>543</v>
      </c>
      <c r="H80">
        <v>2</v>
      </c>
      <c r="P80" t="str">
        <f t="shared" si="7"/>
        <v/>
      </c>
      <c r="Q80">
        <v>2</v>
      </c>
      <c r="Y80" t="str">
        <f t="shared" si="8"/>
        <v/>
      </c>
      <c r="Z80">
        <v>2</v>
      </c>
      <c r="AH80" t="str">
        <f t="shared" si="9"/>
        <v/>
      </c>
      <c r="AI80" t="str">
        <f>IF(매핑v2!H77="○",P80,"")</f>
        <v/>
      </c>
      <c r="AJ80" t="str">
        <f>IF(매핑v2!H77="○","○","X")</f>
        <v>○</v>
      </c>
      <c r="AK80" t="str">
        <f>IF(매핑v2!H77="○",Y80,"")</f>
        <v/>
      </c>
      <c r="AL80" t="str">
        <f>IF(매핑v2!H77="○","○","X")</f>
        <v>○</v>
      </c>
      <c r="AM80" t="str">
        <f>IF(매핑v2!H77="○",AH80,"")</f>
        <v/>
      </c>
      <c r="AN80" t="str">
        <f>IF(매핑v2!H77="○","○","X")</f>
        <v>○</v>
      </c>
      <c r="AO80" t="str">
        <f>IF(매핑v2!I77="○",P80,"")</f>
        <v/>
      </c>
      <c r="AP80" t="str">
        <f>IF(매핑v2!I77="○","○","X")</f>
        <v>○</v>
      </c>
      <c r="AQ80" t="str">
        <f>IF(매핑v2!I77="○",Y80,"")</f>
        <v/>
      </c>
      <c r="AR80" t="str">
        <f>IF(매핑v2!I77="○","○","X")</f>
        <v>○</v>
      </c>
      <c r="AS80" t="str">
        <f>IF(매핑v2!I77="○",AH80,"")</f>
        <v/>
      </c>
      <c r="AT80" t="str">
        <f>IF(매핑v2!I77="○","○","X")</f>
        <v>○</v>
      </c>
      <c r="AU80" t="str">
        <f>IF(매핑v2!J77="○",P80,"")</f>
        <v/>
      </c>
      <c r="AV80" t="str">
        <f>IF(매핑v2!J77="○","○","X")</f>
        <v>○</v>
      </c>
      <c r="AW80" t="str">
        <f>IF(매핑v2!J77="○",Y80,"")</f>
        <v/>
      </c>
      <c r="AX80" t="str">
        <f>IF(매핑v2!J77="○","○","X")</f>
        <v>○</v>
      </c>
      <c r="AY80" t="str">
        <f>IF(매핑v2!J77="○",AH80,"")</f>
        <v/>
      </c>
      <c r="AZ80" t="str">
        <f>IF(매핑v2!J77="○","○","X")</f>
        <v>○</v>
      </c>
      <c r="BA80" t="str">
        <f>IF(매핑v2!K77="○",P80,"")</f>
        <v/>
      </c>
      <c r="BB80" t="str">
        <f>IF(매핑v2!K77="○","○","X")</f>
        <v>○</v>
      </c>
      <c r="BC80" t="str">
        <f>IF(매핑v2!K77="○",Y80,"")</f>
        <v/>
      </c>
      <c r="BD80" t="str">
        <f>IF(매핑v2!K77="○","○","X")</f>
        <v>○</v>
      </c>
      <c r="BE80" t="str">
        <f>IF(매핑v2!K77="○",AH80,"")</f>
        <v/>
      </c>
      <c r="BF80" t="str">
        <f>IF(매핑v2!K77="○","○","X")</f>
        <v>○</v>
      </c>
      <c r="BG80" t="str">
        <f>IF(매핑v2!L77="○",P80,"")</f>
        <v/>
      </c>
      <c r="BH80" t="str">
        <f>IF(매핑v2!L77="○","○","X")</f>
        <v>○</v>
      </c>
      <c r="BI80" t="str">
        <f>IF(매핑v2!L77="○",Y80,"")</f>
        <v/>
      </c>
      <c r="BJ80" t="s">
        <v>977</v>
      </c>
      <c r="BK80" t="s">
        <v>1102</v>
      </c>
      <c r="BL80" t="s">
        <v>1102</v>
      </c>
      <c r="BM80" t="s">
        <v>977</v>
      </c>
      <c r="BN80" t="s">
        <v>1102</v>
      </c>
      <c r="BO80" t="s">
        <v>1102</v>
      </c>
    </row>
    <row r="81" spans="1:67" x14ac:dyDescent="0.3">
      <c r="A81">
        <v>80</v>
      </c>
      <c r="B81" t="s">
        <v>72</v>
      </c>
      <c r="C81" t="s">
        <v>726</v>
      </c>
      <c r="D81" t="s">
        <v>63</v>
      </c>
      <c r="E81" t="s">
        <v>803</v>
      </c>
      <c r="F81" t="s">
        <v>947</v>
      </c>
      <c r="G81" t="s">
        <v>948</v>
      </c>
      <c r="H81">
        <v>2</v>
      </c>
      <c r="K81">
        <v>1</v>
      </c>
      <c r="L81">
        <v>1</v>
      </c>
      <c r="M81">
        <v>100000</v>
      </c>
      <c r="P81">
        <f t="shared" si="7"/>
        <v>100000</v>
      </c>
      <c r="Q81">
        <v>2</v>
      </c>
      <c r="T81">
        <v>1</v>
      </c>
      <c r="U81">
        <v>1</v>
      </c>
      <c r="V81">
        <v>250000</v>
      </c>
      <c r="Y81">
        <f t="shared" si="8"/>
        <v>250000</v>
      </c>
      <c r="Z81">
        <v>2</v>
      </c>
      <c r="AC81">
        <f>1/12</f>
        <v>8.3333333333333329E-2</v>
      </c>
      <c r="AD81">
        <v>1</v>
      </c>
      <c r="AE81">
        <v>500000</v>
      </c>
      <c r="AH81">
        <f t="shared" si="9"/>
        <v>41666.666666666664</v>
      </c>
      <c r="AI81">
        <f>IF(매핑v2!H78="○",P81,"")</f>
        <v>100000</v>
      </c>
      <c r="AJ81" t="str">
        <f>IF(매핑v2!H78="○","○","X")</f>
        <v>○</v>
      </c>
      <c r="AK81">
        <f>IF(매핑v2!H78="○",Y81,"")</f>
        <v>250000</v>
      </c>
      <c r="AL81" t="str">
        <f>IF(매핑v2!H78="○","○","X")</f>
        <v>○</v>
      </c>
      <c r="AM81">
        <f>IF(매핑v2!H78="○",AH81,"")</f>
        <v>41666.666666666664</v>
      </c>
      <c r="AN81" t="str">
        <f>IF(매핑v2!H78="○","○","X")</f>
        <v>○</v>
      </c>
      <c r="AO81">
        <f>IF(매핑v2!I78="○",P81,"")</f>
        <v>100000</v>
      </c>
      <c r="AP81" t="str">
        <f>IF(매핑v2!I78="○","○","X")</f>
        <v>○</v>
      </c>
      <c r="AQ81">
        <f>IF(매핑v2!I78="○",Y81,"")</f>
        <v>250000</v>
      </c>
      <c r="AR81" t="str">
        <f>IF(매핑v2!I78="○","○","X")</f>
        <v>○</v>
      </c>
      <c r="AS81">
        <f>IF(매핑v2!I78="○",AH81,"")</f>
        <v>41666.666666666664</v>
      </c>
      <c r="AT81" t="str">
        <f>IF(매핑v2!I78="○","○","X")</f>
        <v>○</v>
      </c>
      <c r="AU81">
        <f>IF(매핑v2!J78="○",P81,"")</f>
        <v>100000</v>
      </c>
      <c r="AV81" t="str">
        <f>IF(매핑v2!J78="○","○","X")</f>
        <v>○</v>
      </c>
      <c r="AW81">
        <f>IF(매핑v2!J78="○",Y81,"")</f>
        <v>250000</v>
      </c>
      <c r="AX81" t="str">
        <f>IF(매핑v2!J78="○","○","X")</f>
        <v>○</v>
      </c>
      <c r="AY81">
        <f>IF(매핑v2!J78="○",AH81,"")</f>
        <v>41666.666666666664</v>
      </c>
      <c r="AZ81" t="str">
        <f>IF(매핑v2!J78="○","○","X")</f>
        <v>○</v>
      </c>
      <c r="BA81">
        <f>IF(매핑v2!K78="○",P81,"")</f>
        <v>100000</v>
      </c>
      <c r="BB81" t="str">
        <f>IF(매핑v2!K78="○","○","X")</f>
        <v>○</v>
      </c>
      <c r="BC81">
        <f>IF(매핑v2!K78="○",Y81,"")</f>
        <v>250000</v>
      </c>
      <c r="BD81" t="str">
        <f>IF(매핑v2!K78="○","○","X")</f>
        <v>○</v>
      </c>
      <c r="BE81">
        <f>IF(매핑v2!K78="○",AH81,"")</f>
        <v>41666.666666666664</v>
      </c>
      <c r="BF81" t="str">
        <f>IF(매핑v2!K78="○","○","X")</f>
        <v>○</v>
      </c>
      <c r="BG81">
        <f>IF(매핑v2!L78="○",P81,"")</f>
        <v>100000</v>
      </c>
      <c r="BH81" t="str">
        <f>IF(매핑v2!L78="○","○","X")</f>
        <v>○</v>
      </c>
      <c r="BI81">
        <f>IF(매핑v2!L78="○",Y81,"")</f>
        <v>250000</v>
      </c>
      <c r="BJ81" t="s">
        <v>977</v>
      </c>
      <c r="BK81" t="s">
        <v>1102</v>
      </c>
      <c r="BL81" t="s">
        <v>977</v>
      </c>
      <c r="BM81" t="s">
        <v>977</v>
      </c>
      <c r="BN81" t="s">
        <v>1102</v>
      </c>
      <c r="BO81" t="s">
        <v>1102</v>
      </c>
    </row>
    <row r="82" spans="1:67" x14ac:dyDescent="0.3">
      <c r="A82">
        <v>81</v>
      </c>
      <c r="B82" t="s">
        <v>72</v>
      </c>
      <c r="C82" t="s">
        <v>782</v>
      </c>
      <c r="D82" t="s">
        <v>16</v>
      </c>
      <c r="E82" t="s">
        <v>804</v>
      </c>
      <c r="F82" t="s">
        <v>949</v>
      </c>
      <c r="G82" t="s">
        <v>950</v>
      </c>
      <c r="H82">
        <v>2</v>
      </c>
      <c r="K82">
        <v>1</v>
      </c>
      <c r="L82">
        <v>1</v>
      </c>
      <c r="M82">
        <v>0</v>
      </c>
      <c r="P82">
        <f t="shared" si="7"/>
        <v>0</v>
      </c>
      <c r="Q82">
        <v>2</v>
      </c>
      <c r="T82">
        <v>1</v>
      </c>
      <c r="U82">
        <v>1</v>
      </c>
      <c r="V82">
        <v>100000</v>
      </c>
      <c r="Y82">
        <f t="shared" si="8"/>
        <v>100000</v>
      </c>
      <c r="Z82">
        <v>2</v>
      </c>
      <c r="AH82" t="str">
        <f t="shared" si="9"/>
        <v/>
      </c>
      <c r="AI82">
        <f>IF(매핑v2!H79="○",P82,"")</f>
        <v>0</v>
      </c>
      <c r="AJ82" t="str">
        <f>IF(매핑v2!H79="○","○","X")</f>
        <v>○</v>
      </c>
      <c r="AK82">
        <f>IF(매핑v2!H79="○",Y82,"")</f>
        <v>100000</v>
      </c>
      <c r="AL82" t="str">
        <f>IF(매핑v2!H79="○","○","X")</f>
        <v>○</v>
      </c>
      <c r="AM82" t="str">
        <f>IF(매핑v2!H79="○",AH82,"")</f>
        <v/>
      </c>
      <c r="AN82" t="str">
        <f>IF(매핑v2!H79="○","○","X")</f>
        <v>○</v>
      </c>
      <c r="AO82">
        <f>IF(매핑v2!I79="○",P82,"")</f>
        <v>0</v>
      </c>
      <c r="AP82" t="str">
        <f>IF(매핑v2!I79="○","○","X")</f>
        <v>○</v>
      </c>
      <c r="AQ82">
        <f>IF(매핑v2!I79="○",Y82,"")</f>
        <v>100000</v>
      </c>
      <c r="AR82" t="str">
        <f>IF(매핑v2!I79="○","○","X")</f>
        <v>○</v>
      </c>
      <c r="AS82" t="str">
        <f>IF(매핑v2!I79="○",AH82,"")</f>
        <v/>
      </c>
      <c r="AT82" t="str">
        <f>IF(매핑v2!I79="○","○","X")</f>
        <v>○</v>
      </c>
      <c r="AU82">
        <f>IF(매핑v2!J79="○",P82,"")</f>
        <v>0</v>
      </c>
      <c r="AV82" t="str">
        <f>IF(매핑v2!J79="○","○","X")</f>
        <v>○</v>
      </c>
      <c r="AW82">
        <f>IF(매핑v2!J79="○",Y82,"")</f>
        <v>100000</v>
      </c>
      <c r="AX82" t="str">
        <f>IF(매핑v2!J79="○","○","X")</f>
        <v>○</v>
      </c>
      <c r="AY82" t="str">
        <f>IF(매핑v2!J79="○",AH82,"")</f>
        <v/>
      </c>
      <c r="AZ82" t="str">
        <f>IF(매핑v2!J79="○","○","X")</f>
        <v>○</v>
      </c>
      <c r="BA82">
        <f>IF(매핑v2!K79="○",P82,"")</f>
        <v>0</v>
      </c>
      <c r="BB82" t="str">
        <f>IF(매핑v2!K79="○","○","X")</f>
        <v>○</v>
      </c>
      <c r="BC82">
        <f>IF(매핑v2!K79="○",Y82,"")</f>
        <v>100000</v>
      </c>
      <c r="BD82" t="str">
        <f>IF(매핑v2!K79="○","○","X")</f>
        <v>○</v>
      </c>
      <c r="BE82" t="str">
        <f>IF(매핑v2!K79="○",AH82,"")</f>
        <v/>
      </c>
      <c r="BF82" t="str">
        <f>IF(매핑v2!K79="○","○","X")</f>
        <v>○</v>
      </c>
      <c r="BG82">
        <f>IF(매핑v2!L79="○",P82,"")</f>
        <v>0</v>
      </c>
      <c r="BH82" t="str">
        <f>IF(매핑v2!L79="○","○","X")</f>
        <v>○</v>
      </c>
      <c r="BI82">
        <f>IF(매핑v2!L79="○",Y82,"")</f>
        <v>100000</v>
      </c>
      <c r="BJ82" t="s">
        <v>977</v>
      </c>
      <c r="BK82" t="s">
        <v>1102</v>
      </c>
      <c r="BL82" t="s">
        <v>1102</v>
      </c>
      <c r="BM82" t="s">
        <v>977</v>
      </c>
      <c r="BN82" t="s">
        <v>1102</v>
      </c>
      <c r="BO82" t="s">
        <v>1102</v>
      </c>
    </row>
    <row r="83" spans="1:67" x14ac:dyDescent="0.3">
      <c r="A83">
        <v>82</v>
      </c>
      <c r="B83" t="s">
        <v>72</v>
      </c>
      <c r="C83" t="s">
        <v>727</v>
      </c>
      <c r="D83" t="s">
        <v>178</v>
      </c>
      <c r="E83" t="s">
        <v>729</v>
      </c>
      <c r="F83" t="s">
        <v>951</v>
      </c>
      <c r="G83" t="s">
        <v>952</v>
      </c>
      <c r="H83">
        <v>2</v>
      </c>
      <c r="K83">
        <v>1</v>
      </c>
      <c r="L83">
        <v>1</v>
      </c>
      <c r="M83">
        <v>0</v>
      </c>
      <c r="P83">
        <f t="shared" si="7"/>
        <v>0</v>
      </c>
      <c r="Q83">
        <v>2</v>
      </c>
      <c r="Y83" t="str">
        <f t="shared" si="8"/>
        <v/>
      </c>
      <c r="Z83">
        <v>2</v>
      </c>
      <c r="AH83" t="str">
        <f t="shared" si="9"/>
        <v/>
      </c>
      <c r="AI83">
        <f>IF(매핑v2!H80="○",P83,"")</f>
        <v>0</v>
      </c>
      <c r="AJ83" t="str">
        <f>IF(매핑v2!H80="○","○","X")</f>
        <v>○</v>
      </c>
      <c r="AK83" t="str">
        <f>IF(매핑v2!H80="○",Y83,"")</f>
        <v/>
      </c>
      <c r="AL83" t="str">
        <f>IF(매핑v2!H80="○","○","X")</f>
        <v>○</v>
      </c>
      <c r="AM83" t="str">
        <f>IF(매핑v2!H80="○",AH83,"")</f>
        <v/>
      </c>
      <c r="AN83" t="str">
        <f>IF(매핑v2!H80="○","○","X")</f>
        <v>○</v>
      </c>
      <c r="AO83">
        <f>IF(매핑v2!I80="○",P83,"")</f>
        <v>0</v>
      </c>
      <c r="AP83" t="str">
        <f>IF(매핑v2!I80="○","○","X")</f>
        <v>○</v>
      </c>
      <c r="AQ83" t="str">
        <f>IF(매핑v2!I80="○",Y83,"")</f>
        <v/>
      </c>
      <c r="AR83" t="str">
        <f>IF(매핑v2!I80="○","○","X")</f>
        <v>○</v>
      </c>
      <c r="AS83" t="str">
        <f>IF(매핑v2!I80="○",AH83,"")</f>
        <v/>
      </c>
      <c r="AT83" t="str">
        <f>IF(매핑v2!I80="○","○","X")</f>
        <v>○</v>
      </c>
      <c r="AU83">
        <f>IF(매핑v2!J80="○",P83,"")</f>
        <v>0</v>
      </c>
      <c r="AV83" t="str">
        <f>IF(매핑v2!J80="○","○","X")</f>
        <v>○</v>
      </c>
      <c r="AW83" t="str">
        <f>IF(매핑v2!J80="○",Y83,"")</f>
        <v/>
      </c>
      <c r="AX83" t="str">
        <f>IF(매핑v2!J80="○","○","X")</f>
        <v>○</v>
      </c>
      <c r="AY83" t="str">
        <f>IF(매핑v2!J80="○",AH83,"")</f>
        <v/>
      </c>
      <c r="AZ83" t="str">
        <f>IF(매핑v2!J80="○","○","X")</f>
        <v>○</v>
      </c>
      <c r="BA83">
        <f>IF(매핑v2!K80="○",P83,"")</f>
        <v>0</v>
      </c>
      <c r="BB83" t="str">
        <f>IF(매핑v2!K80="○","○","X")</f>
        <v>○</v>
      </c>
      <c r="BC83" t="str">
        <f>IF(매핑v2!K80="○",Y83,"")</f>
        <v/>
      </c>
      <c r="BD83" t="str">
        <f>IF(매핑v2!K80="○","○","X")</f>
        <v>○</v>
      </c>
      <c r="BE83" t="str">
        <f>IF(매핑v2!K80="○",AH83,"")</f>
        <v/>
      </c>
      <c r="BF83" t="str">
        <f>IF(매핑v2!K80="○","○","X")</f>
        <v>○</v>
      </c>
      <c r="BG83">
        <f>IF(매핑v2!L80="○",P83,"")</f>
        <v>0</v>
      </c>
      <c r="BH83" t="str">
        <f>IF(매핑v2!L80="○","○","X")</f>
        <v>○</v>
      </c>
      <c r="BI83" t="str">
        <f>IF(매핑v2!L80="○",Y83,"")</f>
        <v/>
      </c>
      <c r="BJ83" t="s">
        <v>977</v>
      </c>
      <c r="BK83" t="s">
        <v>1102</v>
      </c>
      <c r="BL83" t="s">
        <v>1102</v>
      </c>
      <c r="BM83" t="s">
        <v>1102</v>
      </c>
      <c r="BN83" t="s">
        <v>1102</v>
      </c>
      <c r="BO83" t="s">
        <v>1102</v>
      </c>
    </row>
    <row r="84" spans="1:67" x14ac:dyDescent="0.3">
      <c r="P84" s="8">
        <f>SUM(P2:P83)</f>
        <v>1621500.3968253967</v>
      </c>
      <c r="Q84" s="8"/>
      <c r="Y84" s="8">
        <f>SUM(Y2:Y83)</f>
        <v>5635977.7777777771</v>
      </c>
      <c r="Z84" s="8"/>
      <c r="AH84" s="8">
        <f>SUM(AH2:AH83)</f>
        <v>2462244.6944444436</v>
      </c>
    </row>
  </sheetData>
  <autoFilter ref="B1:BL84" xr:uid="{0F767B14-9849-4964-9E60-8CC2AAA70804}"/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FB54-34D8-4C2C-96C1-7158E5F4DB20}">
  <dimension ref="A2:V46"/>
  <sheetViews>
    <sheetView topLeftCell="A14" workbookViewId="0">
      <selection activeCell="P30" sqref="P30"/>
    </sheetView>
  </sheetViews>
  <sheetFormatPr defaultRowHeight="16.5" x14ac:dyDescent="0.3"/>
  <sheetData>
    <row r="2" spans="1:22" x14ac:dyDescent="0.3">
      <c r="A2" t="s">
        <v>982</v>
      </c>
    </row>
    <row r="4" spans="1:22" x14ac:dyDescent="0.3">
      <c r="A4" s="32" t="s">
        <v>983</v>
      </c>
      <c r="O4" t="s">
        <v>1036</v>
      </c>
      <c r="P4" t="s">
        <v>1014</v>
      </c>
      <c r="Q4" t="s">
        <v>1015</v>
      </c>
      <c r="R4" t="s">
        <v>38</v>
      </c>
    </row>
    <row r="5" spans="1:22" x14ac:dyDescent="0.3">
      <c r="A5" s="33"/>
      <c r="Q5" t="s">
        <v>1016</v>
      </c>
      <c r="R5" t="s">
        <v>570</v>
      </c>
    </row>
    <row r="6" spans="1:22" x14ac:dyDescent="0.3">
      <c r="A6" s="33" t="s">
        <v>984</v>
      </c>
      <c r="Q6" t="s">
        <v>1017</v>
      </c>
      <c r="R6" t="s">
        <v>569</v>
      </c>
    </row>
    <row r="7" spans="1:22" x14ac:dyDescent="0.3">
      <c r="A7" s="33" t="s">
        <v>985</v>
      </c>
      <c r="Q7" t="s">
        <v>1018</v>
      </c>
    </row>
    <row r="8" spans="1:22" x14ac:dyDescent="0.3">
      <c r="A8" s="34" t="s">
        <v>986</v>
      </c>
      <c r="Q8" t="s">
        <v>1019</v>
      </c>
    </row>
    <row r="9" spans="1:22" x14ac:dyDescent="0.3">
      <c r="A9" s="34" t="s">
        <v>987</v>
      </c>
      <c r="Q9" t="s">
        <v>1020</v>
      </c>
    </row>
    <row r="10" spans="1:22" x14ac:dyDescent="0.3">
      <c r="A10" s="33" t="s">
        <v>988</v>
      </c>
      <c r="P10" t="s">
        <v>1021</v>
      </c>
      <c r="Q10" t="s">
        <v>1015</v>
      </c>
      <c r="R10" t="s">
        <v>1029</v>
      </c>
      <c r="S10" t="s">
        <v>1030</v>
      </c>
      <c r="T10" t="s">
        <v>1031</v>
      </c>
    </row>
    <row r="11" spans="1:22" x14ac:dyDescent="0.3">
      <c r="A11" s="33" t="s">
        <v>989</v>
      </c>
      <c r="Q11" t="s">
        <v>1016</v>
      </c>
      <c r="R11" t="s">
        <v>1024</v>
      </c>
      <c r="S11" t="s">
        <v>1025</v>
      </c>
      <c r="T11" t="s">
        <v>1026</v>
      </c>
      <c r="U11" t="s">
        <v>1027</v>
      </c>
      <c r="V11" t="s">
        <v>1028</v>
      </c>
    </row>
    <row r="12" spans="1:22" x14ac:dyDescent="0.3">
      <c r="Q12" t="s">
        <v>1017</v>
      </c>
      <c r="R12" t="s">
        <v>1022</v>
      </c>
      <c r="S12" t="s">
        <v>1023</v>
      </c>
    </row>
    <row r="13" spans="1:22" x14ac:dyDescent="0.3">
      <c r="A13" s="32" t="s">
        <v>990</v>
      </c>
      <c r="P13" t="s">
        <v>1032</v>
      </c>
      <c r="Q13" t="s">
        <v>1033</v>
      </c>
    </row>
    <row r="14" spans="1:22" x14ac:dyDescent="0.3">
      <c r="A14" s="33"/>
      <c r="P14" t="s">
        <v>1034</v>
      </c>
      <c r="Q14" t="s">
        <v>1035</v>
      </c>
      <c r="R14">
        <v>85</v>
      </c>
    </row>
    <row r="15" spans="1:22" x14ac:dyDescent="0.3">
      <c r="A15" s="33" t="s">
        <v>991</v>
      </c>
      <c r="Q15" t="s">
        <v>1015</v>
      </c>
      <c r="R15">
        <v>5</v>
      </c>
    </row>
    <row r="16" spans="1:22" x14ac:dyDescent="0.3">
      <c r="A16" s="33" t="s">
        <v>992</v>
      </c>
      <c r="Q16" t="s">
        <v>1016</v>
      </c>
      <c r="R16">
        <v>5</v>
      </c>
    </row>
    <row r="17" spans="1:18" x14ac:dyDescent="0.3">
      <c r="A17" s="34" t="s">
        <v>993</v>
      </c>
      <c r="Q17" t="s">
        <v>1017</v>
      </c>
      <c r="R17">
        <v>5</v>
      </c>
    </row>
    <row r="18" spans="1:18" x14ac:dyDescent="0.3">
      <c r="A18" s="34" t="s">
        <v>994</v>
      </c>
      <c r="O18" t="s">
        <v>1037</v>
      </c>
      <c r="P18" t="s">
        <v>1038</v>
      </c>
    </row>
    <row r="19" spans="1:18" x14ac:dyDescent="0.3">
      <c r="A19" s="34" t="s">
        <v>995</v>
      </c>
      <c r="P19" t="s">
        <v>1039</v>
      </c>
    </row>
    <row r="20" spans="1:18" x14ac:dyDescent="0.3">
      <c r="A20" s="33" t="s">
        <v>996</v>
      </c>
    </row>
    <row r="21" spans="1:18" x14ac:dyDescent="0.3">
      <c r="O21" t="s">
        <v>1040</v>
      </c>
      <c r="P21" t="s">
        <v>1041</v>
      </c>
    </row>
    <row r="22" spans="1:18" x14ac:dyDescent="0.3">
      <c r="A22" s="32" t="s">
        <v>997</v>
      </c>
      <c r="P22" t="s">
        <v>1042</v>
      </c>
    </row>
    <row r="23" spans="1:18" x14ac:dyDescent="0.3">
      <c r="P23" t="s">
        <v>1043</v>
      </c>
    </row>
    <row r="24" spans="1:18" x14ac:dyDescent="0.3">
      <c r="A24" t="s">
        <v>998</v>
      </c>
    </row>
    <row r="25" spans="1:18" x14ac:dyDescent="0.3">
      <c r="A25" s="33"/>
    </row>
    <row r="26" spans="1:18" x14ac:dyDescent="0.3">
      <c r="A26" s="35" t="s">
        <v>999</v>
      </c>
    </row>
    <row r="27" spans="1:18" x14ac:dyDescent="0.3">
      <c r="A27" s="35" t="s">
        <v>1000</v>
      </c>
    </row>
    <row r="28" spans="1:18" x14ac:dyDescent="0.3">
      <c r="A28" s="35" t="s">
        <v>1001</v>
      </c>
    </row>
    <row r="29" spans="1:18" x14ac:dyDescent="0.3">
      <c r="A29" s="35" t="s">
        <v>1002</v>
      </c>
      <c r="P29" t="s">
        <v>1048</v>
      </c>
    </row>
    <row r="30" spans="1:18" x14ac:dyDescent="0.3">
      <c r="P30" t="s">
        <v>1045</v>
      </c>
    </row>
    <row r="31" spans="1:18" x14ac:dyDescent="0.3">
      <c r="A31" t="s">
        <v>1003</v>
      </c>
      <c r="P31" t="s">
        <v>1046</v>
      </c>
    </row>
    <row r="32" spans="1:18" x14ac:dyDescent="0.3">
      <c r="P32" t="s">
        <v>1047</v>
      </c>
    </row>
    <row r="33" spans="1:1" x14ac:dyDescent="0.3">
      <c r="A33" s="32" t="s">
        <v>1004</v>
      </c>
    </row>
    <row r="34" spans="1:1" x14ac:dyDescent="0.3">
      <c r="A34" s="33"/>
    </row>
    <row r="35" spans="1:1" x14ac:dyDescent="0.3">
      <c r="A35" s="33" t="s">
        <v>1005</v>
      </c>
    </row>
    <row r="36" spans="1:1" x14ac:dyDescent="0.3">
      <c r="A36" s="33" t="s">
        <v>1006</v>
      </c>
    </row>
    <row r="37" spans="1:1" x14ac:dyDescent="0.3">
      <c r="A37" s="33" t="s">
        <v>1007</v>
      </c>
    </row>
    <row r="39" spans="1:1" x14ac:dyDescent="0.3">
      <c r="A39" s="32" t="s">
        <v>1008</v>
      </c>
    </row>
    <row r="40" spans="1:1" x14ac:dyDescent="0.3">
      <c r="A40" s="33"/>
    </row>
    <row r="41" spans="1:1" x14ac:dyDescent="0.3">
      <c r="A41" s="33" t="s">
        <v>1009</v>
      </c>
    </row>
    <row r="42" spans="1:1" x14ac:dyDescent="0.3">
      <c r="A42" s="33" t="s">
        <v>1010</v>
      </c>
    </row>
    <row r="43" spans="1:1" x14ac:dyDescent="0.3">
      <c r="A43" s="33" t="s">
        <v>1011</v>
      </c>
    </row>
    <row r="44" spans="1:1" x14ac:dyDescent="0.3">
      <c r="A44" s="33" t="s">
        <v>1012</v>
      </c>
    </row>
    <row r="46" spans="1:1" x14ac:dyDescent="0.3">
      <c r="A46" t="s">
        <v>1013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5702-2484-49F6-84F4-87469717A98A}">
  <dimension ref="A1:BV84"/>
  <sheetViews>
    <sheetView zoomScale="80" zoomScaleNormal="80" workbookViewId="0">
      <pane xSplit="5" ySplit="1" topLeftCell="F2" activePane="bottomRight" state="frozenSplit"/>
      <selection pane="topRight" activeCell="E1" sqref="E1"/>
      <selection pane="bottomLeft" activeCell="A2" sqref="A2"/>
      <selection pane="bottomRight" activeCell="C6" sqref="C6:E10"/>
    </sheetView>
  </sheetViews>
  <sheetFormatPr defaultRowHeight="16.5" x14ac:dyDescent="0.3"/>
  <cols>
    <col min="1" max="1" width="9" customWidth="1"/>
    <col min="2" max="2" width="7.375" customWidth="1"/>
    <col min="3" max="3" width="21.25" customWidth="1"/>
    <col min="4" max="4" width="16.125" bestFit="1" customWidth="1"/>
    <col min="5" max="7" width="56" customWidth="1"/>
    <col min="8" max="8" width="5.5" bestFit="1" customWidth="1"/>
    <col min="9" max="9" width="12" customWidth="1"/>
    <col min="10" max="11" width="16.25" customWidth="1"/>
    <col min="12" max="12" width="14.125" customWidth="1"/>
    <col min="13" max="13" width="12" customWidth="1"/>
    <col min="14" max="14" width="18.25" customWidth="1"/>
    <col min="15" max="15" width="15.25" customWidth="1"/>
    <col min="16" max="17" width="10.875" customWidth="1"/>
    <col min="18" max="18" width="12" customWidth="1"/>
    <col min="19" max="20" width="16.25" customWidth="1"/>
    <col min="21" max="21" width="14.125" customWidth="1"/>
    <col min="22" max="22" width="12" customWidth="1"/>
    <col min="23" max="23" width="18.25" customWidth="1"/>
    <col min="24" max="24" width="22.5" customWidth="1"/>
    <col min="25" max="26" width="10" customWidth="1"/>
    <col min="27" max="27" width="13.875" bestFit="1" customWidth="1"/>
    <col min="28" max="29" width="16.5" bestFit="1" customWidth="1"/>
    <col min="30" max="30" width="14.375" bestFit="1" customWidth="1"/>
    <col min="31" max="31" width="12.25" bestFit="1" customWidth="1"/>
    <col min="32" max="32" width="13.375" customWidth="1"/>
    <col min="33" max="33" width="22.75" bestFit="1" customWidth="1"/>
    <col min="34" max="34" width="12.375" customWidth="1"/>
    <col min="35" max="35" width="12.125" bestFit="1" customWidth="1"/>
    <col min="36" max="36" width="11.5" style="1" customWidth="1"/>
    <col min="37" max="37" width="11.75" customWidth="1"/>
    <col min="38" max="38" width="10.5" style="1" bestFit="1" customWidth="1"/>
    <col min="39" max="39" width="10.125" customWidth="1"/>
    <col min="40" max="40" width="9" style="1"/>
    <col min="41" max="41" width="12.125" bestFit="1" customWidth="1"/>
    <col min="42" max="42" width="9" style="1"/>
    <col min="43" max="43" width="12.125" bestFit="1" customWidth="1"/>
    <col min="44" max="44" width="9" style="1"/>
    <col min="45" max="45" width="12.125" bestFit="1" customWidth="1"/>
    <col min="46" max="46" width="9" style="1"/>
    <col min="47" max="47" width="12.125" bestFit="1" customWidth="1"/>
    <col min="48" max="48" width="9" style="1"/>
    <col min="49" max="49" width="12.125" bestFit="1" customWidth="1"/>
    <col min="50" max="50" width="9" style="1"/>
    <col min="51" max="51" width="12.125" bestFit="1" customWidth="1"/>
    <col min="52" max="52" width="9" style="1"/>
    <col min="53" max="53" width="12.125" bestFit="1" customWidth="1"/>
    <col min="54" max="54" width="9" style="1"/>
    <col min="55" max="55" width="12.125" bestFit="1" customWidth="1"/>
    <col min="56" max="56" width="9" style="1"/>
    <col min="57" max="57" width="12.125" bestFit="1" customWidth="1"/>
    <col min="58" max="58" width="9" style="1"/>
    <col min="59" max="59" width="12.125" bestFit="1" customWidth="1"/>
    <col min="60" max="60" width="17" style="1" customWidth="1"/>
    <col min="61" max="61" width="12.125" bestFit="1" customWidth="1"/>
    <col min="62" max="72" width="9" style="1"/>
  </cols>
  <sheetData>
    <row r="1" spans="1:74" s="30" customFormat="1" x14ac:dyDescent="0.3">
      <c r="B1" s="30" t="s">
        <v>584</v>
      </c>
      <c r="C1" s="30" t="s">
        <v>585</v>
      </c>
      <c r="D1" s="30" t="s">
        <v>822</v>
      </c>
      <c r="E1" s="30" t="s">
        <v>889</v>
      </c>
      <c r="F1" s="30" t="s">
        <v>890</v>
      </c>
      <c r="G1" s="30" t="s">
        <v>891</v>
      </c>
      <c r="H1" s="30" t="s">
        <v>846</v>
      </c>
      <c r="I1" s="30" t="s">
        <v>840</v>
      </c>
      <c r="J1" s="30" t="s">
        <v>841</v>
      </c>
      <c r="K1" s="30" t="s">
        <v>1089</v>
      </c>
      <c r="L1" s="30" t="s">
        <v>1090</v>
      </c>
      <c r="M1" s="30" t="s">
        <v>848</v>
      </c>
      <c r="N1" s="30" t="s">
        <v>855</v>
      </c>
      <c r="O1" s="30" t="s">
        <v>856</v>
      </c>
      <c r="P1" s="30" t="s">
        <v>588</v>
      </c>
      <c r="Q1" s="30" t="s">
        <v>954</v>
      </c>
      <c r="R1" s="30" t="s">
        <v>842</v>
      </c>
      <c r="S1" s="30" t="s">
        <v>843</v>
      </c>
      <c r="T1" s="30" t="s">
        <v>1091</v>
      </c>
      <c r="U1" s="30" t="s">
        <v>1092</v>
      </c>
      <c r="V1" s="30" t="s">
        <v>851</v>
      </c>
      <c r="W1" s="30" t="s">
        <v>857</v>
      </c>
      <c r="X1" s="30" t="s">
        <v>858</v>
      </c>
      <c r="Y1" s="30" t="s">
        <v>589</v>
      </c>
      <c r="Z1" s="30" t="s">
        <v>964</v>
      </c>
      <c r="AA1" s="30" t="s">
        <v>844</v>
      </c>
      <c r="AB1" s="30" t="s">
        <v>845</v>
      </c>
      <c r="AC1" s="30" t="s">
        <v>1093</v>
      </c>
      <c r="AD1" s="30" t="s">
        <v>1094</v>
      </c>
      <c r="AE1" s="30" t="s">
        <v>854</v>
      </c>
      <c r="AF1" s="30" t="s">
        <v>859</v>
      </c>
      <c r="AG1" s="30" t="s">
        <v>860</v>
      </c>
      <c r="AH1" s="30" t="s">
        <v>590</v>
      </c>
      <c r="AI1" t="s">
        <v>862</v>
      </c>
      <c r="AJ1" s="1" t="s">
        <v>863</v>
      </c>
      <c r="AK1" t="s">
        <v>864</v>
      </c>
      <c r="AL1" s="1" t="s">
        <v>865</v>
      </c>
      <c r="AM1" t="s">
        <v>866</v>
      </c>
      <c r="AN1" s="37" t="s">
        <v>867</v>
      </c>
      <c r="AO1" s="30" t="s">
        <v>868</v>
      </c>
      <c r="AP1" s="37" t="s">
        <v>869</v>
      </c>
      <c r="AQ1" s="30" t="s">
        <v>870</v>
      </c>
      <c r="AR1" s="37" t="s">
        <v>871</v>
      </c>
      <c r="AS1" s="30" t="s">
        <v>872</v>
      </c>
      <c r="AT1" s="37" t="s">
        <v>873</v>
      </c>
      <c r="AU1" s="30" t="s">
        <v>874</v>
      </c>
      <c r="AV1" s="37" t="s">
        <v>875</v>
      </c>
      <c r="AW1" s="30" t="s">
        <v>876</v>
      </c>
      <c r="AX1" s="37" t="s">
        <v>877</v>
      </c>
      <c r="AY1" s="30" t="s">
        <v>878</v>
      </c>
      <c r="AZ1" s="37" t="s">
        <v>879</v>
      </c>
      <c r="BA1" s="30" t="s">
        <v>880</v>
      </c>
      <c r="BB1" s="37" t="s">
        <v>881</v>
      </c>
      <c r="BC1" s="30" t="s">
        <v>882</v>
      </c>
      <c r="BD1" s="37" t="s">
        <v>883</v>
      </c>
      <c r="BE1" s="30" t="s">
        <v>884</v>
      </c>
      <c r="BF1" s="37" t="s">
        <v>885</v>
      </c>
      <c r="BG1" s="30" t="s">
        <v>886</v>
      </c>
      <c r="BH1" s="37" t="s">
        <v>887</v>
      </c>
      <c r="BI1" s="30" t="s">
        <v>888</v>
      </c>
      <c r="BJ1" s="37" t="s">
        <v>971</v>
      </c>
      <c r="BK1" s="37" t="s">
        <v>972</v>
      </c>
      <c r="BL1" s="37" t="s">
        <v>973</v>
      </c>
      <c r="BM1" s="37" t="s">
        <v>974</v>
      </c>
      <c r="BN1" s="37" t="s">
        <v>975</v>
      </c>
      <c r="BO1" s="37" t="s">
        <v>976</v>
      </c>
      <c r="BP1" s="37" t="s">
        <v>1095</v>
      </c>
      <c r="BQ1" s="37" t="s">
        <v>1096</v>
      </c>
      <c r="BR1" s="37" t="s">
        <v>1097</v>
      </c>
      <c r="BS1" s="37" t="s">
        <v>1098</v>
      </c>
      <c r="BT1" s="37" t="s">
        <v>1099</v>
      </c>
    </row>
    <row r="2" spans="1:74" x14ac:dyDescent="0.3">
      <c r="A2">
        <v>1</v>
      </c>
      <c r="B2" t="s">
        <v>596</v>
      </c>
      <c r="C2" t="s">
        <v>600</v>
      </c>
      <c r="D2" t="s">
        <v>20</v>
      </c>
      <c r="E2" t="s">
        <v>732</v>
      </c>
      <c r="F2" t="s">
        <v>267</v>
      </c>
      <c r="G2" t="s">
        <v>435</v>
      </c>
      <c r="H2">
        <v>4</v>
      </c>
      <c r="I2" s="8">
        <v>250000</v>
      </c>
      <c r="J2" s="8">
        <v>7</v>
      </c>
      <c r="K2" s="39">
        <v>210</v>
      </c>
      <c r="L2" s="8">
        <v>0.25</v>
      </c>
      <c r="M2" s="8">
        <v>120</v>
      </c>
      <c r="N2" s="8"/>
      <c r="O2" s="8"/>
      <c r="P2" s="8">
        <f t="shared" ref="P2:P65" si="0">IF($H2=1,IF(AND(I2&lt;&gt;"",J2&lt;&gt;""),I2/J2/12,""),IF($H2=2,IF(AND(K2&lt;&gt;"",L2&lt;&gt;"",M2&lt;&gt;""),K2*L2*M2,""),IF($H2=3,IF(AND(N2&lt;&gt;"",O2&lt;&gt;""),N2/O2/12,""),IF($H2=4,IF(AND(I2&lt;&gt;"",J2&lt;&gt;""),I2/J2/12,0)+IF(AND(K2&lt;&gt;"",L2&lt;&gt;"",M2&lt;&gt;""),K2*L2*M2,0),IF($H2=5,IF(AND(I2&lt;&gt;"",J2&lt;&gt;""),I2/J2/12,0)+IF(AND(N2&lt;&gt;"",O2&lt;&gt;""),N2/O2/12,0),IF($H2=6,IF(AND(K2&lt;&gt;"",L2&lt;&gt;"",M2&lt;&gt;""),K2*L2*M2,0)+IF(AND(N2&lt;&gt;"",O2&lt;&gt;""),N2/O2/12,0),""))))))</f>
        <v>9276.1904761904771</v>
      </c>
      <c r="Q2" s="8">
        <v>2</v>
      </c>
      <c r="R2" s="8"/>
      <c r="S2" s="8"/>
      <c r="T2" s="39">
        <f>8*30</f>
        <v>240</v>
      </c>
      <c r="U2" s="8">
        <v>2.2000000000000002</v>
      </c>
      <c r="V2" s="8">
        <v>900</v>
      </c>
      <c r="W2" s="8"/>
      <c r="X2" s="8"/>
      <c r="Y2" s="8">
        <f>IF($Q2=1,IF(AND(R2&lt;&gt;"",S2&lt;&gt;""),R2/S2/12,""),IF($Q2=2,IF(AND(T2&lt;&gt;"",U2&lt;&gt;"",V2&lt;&gt;""),T2*U2*V2,""),IF($Q2=3,IF(AND(W2&lt;&gt;"",X2&lt;&gt;""),W2/X2/12,""),IF($Q2=4,IF(AND(R2&lt;&gt;"",S2&lt;&gt;""),R2/S2/12,0)+IF(AND(T2&lt;&gt;"",U2&lt;&gt;"",V2&lt;&gt;""),T2*U2*V2,0),IF($Q2=5,IF(AND(R2&lt;&gt;"",S2&lt;&gt;""),R2/S2/12,0)+IF(AND(W2&lt;&gt;"",X2&lt;&gt;""),W2/X2/12,0),IF($Q2=6,IF(AND(T2&lt;&gt;"",U2&lt;&gt;"",V2&lt;&gt;""),T2*U2*V2,0)+IF(AND(W2&lt;&gt;"",X2&lt;&gt;""),W2/X2/12,0),""))))))</f>
        <v>475200</v>
      </c>
      <c r="Z2" s="8">
        <v>2</v>
      </c>
      <c r="AA2" s="8"/>
      <c r="AB2" s="8"/>
      <c r="AC2" s="39">
        <f>8*30</f>
        <v>240</v>
      </c>
      <c r="AD2" s="8">
        <v>2.2000000000000002</v>
      </c>
      <c r="AE2" s="8">
        <v>900</v>
      </c>
      <c r="AF2" s="8"/>
      <c r="AG2" s="8"/>
      <c r="AH2" s="8">
        <f>IF($Z2=1,IF(AND(AA2&lt;&gt;"",AB2&lt;&gt;""),AA2/AB2/12,""),IF($Z2=2,IF(AND(AC2&lt;&gt;"",AD2&lt;&gt;"",AE2&lt;&gt;""),AC2*AD2*AE2,""),IF($Z2=3,IF(AND(AF2&lt;&gt;"",AG2&lt;&gt;""),AF2/AG2/12,""),IF($Z2=4,IF(AND(AA2&lt;&gt;"",AB2&lt;&gt;""),AA2/AB2/12,0)+IF(AND(AC2&lt;&gt;"",AD2&lt;&gt;"",AE2&lt;&gt;""),AC2*AD2*AE2,0),IF($Z2=5,IF(AND(AA2&lt;&gt;"",AB2&lt;&gt;""),AA2/AB2/12,0)+IF(AND(AF2&lt;&gt;"",AG2&lt;&gt;""),AF2/AG2/12,0),IF($Z2=6,IF(AND(AC2&lt;&gt;"",AD2&lt;&gt;"",AE2&lt;&gt;""),AC2*AD2*AE2,0)+IF(AND(AF2&lt;&gt;"",AG2&lt;&gt;""),AF2/AG2/12,0),""))))))</f>
        <v>475200</v>
      </c>
      <c r="AI2" s="8">
        <f t="shared" ref="AI2:AI33" si="1">IF(AJ2="○",P2,"")</f>
        <v>9276.1904761904771</v>
      </c>
      <c r="AJ2" s="10" t="str">
        <f t="shared" ref="AJ2:AJ33" si="2">BP2</f>
        <v>○</v>
      </c>
      <c r="AK2" s="8">
        <f t="shared" ref="AK2:AK33" si="3">IF(AL2="○",Y2,"")</f>
        <v>475200</v>
      </c>
      <c r="AL2" s="10" t="str">
        <f t="shared" ref="AL2:AL33" si="4">BP2</f>
        <v>○</v>
      </c>
      <c r="AM2" s="8">
        <f t="shared" ref="AM2:AM33" si="5">IF(AN2="○",AH2,"")</f>
        <v>475200</v>
      </c>
      <c r="AN2" s="10" t="str">
        <f t="shared" ref="AN2:AN33" si="6">BP2</f>
        <v>○</v>
      </c>
      <c r="AO2" s="8">
        <f t="shared" ref="AO2:AO33" si="7">IF(AP2="○",P2,"")</f>
        <v>9276.1904761904771</v>
      </c>
      <c r="AP2" s="10" t="str">
        <f t="shared" ref="AP2:AP33" si="8">BQ2</f>
        <v>○</v>
      </c>
      <c r="AQ2" s="8">
        <f t="shared" ref="AQ2:AQ33" si="9">IF(AR2="○",Y2,"")</f>
        <v>475200</v>
      </c>
      <c r="AR2" s="10" t="str">
        <f t="shared" ref="AR2:AR33" si="10">BQ2</f>
        <v>○</v>
      </c>
      <c r="AS2" s="8">
        <f t="shared" ref="AS2:AS33" si="11">IF(AT2="○",AH2,"")</f>
        <v>475200</v>
      </c>
      <c r="AT2" s="10" t="str">
        <f t="shared" ref="AT2:AT33" si="12">BQ2</f>
        <v>○</v>
      </c>
      <c r="AU2" s="8">
        <f t="shared" ref="AU2:AU33" si="13">IF(AV2="○",P2,"")</f>
        <v>9276.1904761904771</v>
      </c>
      <c r="AV2" s="10" t="str">
        <f t="shared" ref="AV2:AV33" si="14">BR2</f>
        <v>○</v>
      </c>
      <c r="AW2" s="8">
        <f t="shared" ref="AW2:AW33" si="15">IF(AX2="○",Y2,"")</f>
        <v>475200</v>
      </c>
      <c r="AX2" s="10" t="str">
        <f t="shared" ref="AX2:AX33" si="16">BR2</f>
        <v>○</v>
      </c>
      <c r="AY2" s="8">
        <f t="shared" ref="AY2:AY33" si="17">IF(AZ2="○",AH2,"")</f>
        <v>475200</v>
      </c>
      <c r="AZ2" s="10" t="str">
        <f t="shared" ref="AZ2:AZ33" si="18">BR2</f>
        <v>○</v>
      </c>
      <c r="BA2" s="8">
        <f t="shared" ref="BA2:BA33" si="19">IF(BB2="○",P2,"")</f>
        <v>9276.1904761904771</v>
      </c>
      <c r="BB2" s="10" t="str">
        <f t="shared" ref="BB2:BB33" si="20">BS2</f>
        <v>○</v>
      </c>
      <c r="BC2" s="8">
        <f t="shared" ref="BC2:BC33" si="21">IF(BD2="○",Y2,"")</f>
        <v>475200</v>
      </c>
      <c r="BD2" s="10" t="str">
        <f t="shared" ref="BD2:BD33" si="22">BS2</f>
        <v>○</v>
      </c>
      <c r="BE2" s="8">
        <f t="shared" ref="BE2:BE33" si="23">IF(BF2="○",AH2,"")</f>
        <v>475200</v>
      </c>
      <c r="BF2" s="10" t="str">
        <f t="shared" ref="BF2:BF33" si="24">BS2</f>
        <v>○</v>
      </c>
      <c r="BG2" s="8">
        <f t="shared" ref="BG2:BG33" si="25">IF(BH2="○",P2,"")</f>
        <v>9276.1904761904771</v>
      </c>
      <c r="BH2" s="10" t="str">
        <f t="shared" ref="BH2:BH33" si="26">BT2</f>
        <v>○</v>
      </c>
      <c r="BI2" s="8">
        <f t="shared" ref="BI2:BI33" si="27">IF(BH2="○",Y2,"")</f>
        <v>475200</v>
      </c>
      <c r="BJ2" s="1" t="s">
        <v>977</v>
      </c>
      <c r="BK2" s="1" t="s">
        <v>1102</v>
      </c>
      <c r="BL2" s="1" t="s">
        <v>1102</v>
      </c>
      <c r="BM2" s="1" t="s">
        <v>977</v>
      </c>
      <c r="BN2" s="38" t="s">
        <v>1044</v>
      </c>
      <c r="BO2" s="1" t="s">
        <v>1102</v>
      </c>
      <c r="BP2" s="1" t="s">
        <v>1103</v>
      </c>
      <c r="BQ2" s="1" t="s">
        <v>1103</v>
      </c>
      <c r="BR2" s="1" t="s">
        <v>1103</v>
      </c>
      <c r="BS2" s="1" t="s">
        <v>1103</v>
      </c>
      <c r="BT2" s="1" t="s">
        <v>1103</v>
      </c>
    </row>
    <row r="3" spans="1:74" x14ac:dyDescent="0.3">
      <c r="A3">
        <v>2</v>
      </c>
      <c r="B3" t="s">
        <v>596</v>
      </c>
      <c r="C3" t="s">
        <v>601</v>
      </c>
      <c r="D3" t="s">
        <v>25</v>
      </c>
      <c r="E3" t="s">
        <v>1049</v>
      </c>
      <c r="F3" t="s">
        <v>955</v>
      </c>
      <c r="G3" t="s">
        <v>1050</v>
      </c>
      <c r="H3">
        <v>5</v>
      </c>
      <c r="I3" s="8">
        <v>5000</v>
      </c>
      <c r="J3" s="8">
        <v>5</v>
      </c>
      <c r="K3" s="39"/>
      <c r="L3" s="8"/>
      <c r="M3" s="8"/>
      <c r="N3" s="8">
        <v>100000</v>
      </c>
      <c r="O3" s="8">
        <v>4</v>
      </c>
      <c r="P3" s="8">
        <f t="shared" si="0"/>
        <v>2166.666666666667</v>
      </c>
      <c r="Q3" s="8">
        <v>5</v>
      </c>
      <c r="R3" s="8">
        <v>3000000</v>
      </c>
      <c r="S3" s="8">
        <v>5</v>
      </c>
      <c r="T3" s="39"/>
      <c r="U3" s="8"/>
      <c r="V3" s="8"/>
      <c r="W3" s="8"/>
      <c r="X3" s="8"/>
      <c r="Y3" s="8">
        <f t="shared" ref="Y3:Y68" si="28">IF($Q3=1,IF(AND(R3&lt;&gt;"",S3&lt;&gt;""),R3/S3/12,""),IF($Q3=2,IF(AND(T3&lt;&gt;"",U3&lt;&gt;"",V3&lt;&gt;""),T3*U3*V3,""),IF($Q3=3,IF(AND(W3&lt;&gt;"",X3&lt;&gt;""),W3/X3/12,""),IF($Q3=4,IF(AND(R3&lt;&gt;"",S3&lt;&gt;""),R3/S3/12,0)+IF(AND(T3&lt;&gt;"",U3&lt;&gt;"",V3&lt;&gt;""),T3*U3*V3,0),IF($Q3=5,IF(AND(R3&lt;&gt;"",S3&lt;&gt;""),R3/S3/12,0)+IF(AND(W3&lt;&gt;"",X3&lt;&gt;""),W3/X3/12,0),IF($Q3=6,IF(AND(T3&lt;&gt;"",U3&lt;&gt;"",V3&lt;&gt;""),T3*U3*V3,0)+IF(AND(W3&lt;&gt;"",X3&lt;&gt;""),W3/X3/12,0),""))))))</f>
        <v>50000</v>
      </c>
      <c r="Z3" s="8">
        <v>5</v>
      </c>
      <c r="AA3" s="8">
        <v>3000000</v>
      </c>
      <c r="AB3" s="8">
        <v>5</v>
      </c>
      <c r="AC3" s="39"/>
      <c r="AD3" s="8"/>
      <c r="AE3" s="8"/>
      <c r="AF3" s="8"/>
      <c r="AG3" s="8"/>
      <c r="AH3" s="8">
        <f t="shared" ref="AH3:AH68" si="29">IF($Z3=1,IF(AND(AA3&lt;&gt;"",AB3&lt;&gt;""),AA3/AB3/12,""),IF($Z3=2,IF(AND(AC3&lt;&gt;"",AD3&lt;&gt;"",AE3&lt;&gt;""),AC3*AD3*AE3,""),IF($Z3=3,IF(AND(AF3&lt;&gt;"",AG3&lt;&gt;""),AF3/AG3/12,""),IF($Z3=4,IF(AND(AA3&lt;&gt;"",AB3&lt;&gt;""),AA3/AB3/12,0)+IF(AND(AC3&lt;&gt;"",AD3&lt;&gt;"",AE3&lt;&gt;""),AC3*AD3*AE3,0),IF($Z3=5,IF(AND(AA3&lt;&gt;"",AB3&lt;&gt;""),AA3/AB3/12,0)+IF(AND(AF3&lt;&gt;"",AG3&lt;&gt;""),AF3/AG3/12,0),IF($Z3=6,IF(AND(AC3&lt;&gt;"",AD3&lt;&gt;"",AE3&lt;&gt;""),AC3*AD3*AE3,0)+IF(AND(AF3&lt;&gt;"",AG3&lt;&gt;""),AF3/AG3/12,0),""))))))</f>
        <v>50000</v>
      </c>
      <c r="AI3" s="8">
        <f t="shared" si="1"/>
        <v>2166.666666666667</v>
      </c>
      <c r="AJ3" s="10" t="str">
        <f t="shared" si="2"/>
        <v>○</v>
      </c>
      <c r="AK3" s="8">
        <f t="shared" si="3"/>
        <v>50000</v>
      </c>
      <c r="AL3" s="10" t="str">
        <f t="shared" si="4"/>
        <v>○</v>
      </c>
      <c r="AM3" s="8">
        <f t="shared" si="5"/>
        <v>50000</v>
      </c>
      <c r="AN3" s="10" t="str">
        <f t="shared" si="6"/>
        <v>○</v>
      </c>
      <c r="AO3" s="8">
        <f t="shared" si="7"/>
        <v>2166.666666666667</v>
      </c>
      <c r="AP3" s="10" t="str">
        <f t="shared" si="8"/>
        <v>○</v>
      </c>
      <c r="AQ3" s="8">
        <f t="shared" si="9"/>
        <v>50000</v>
      </c>
      <c r="AR3" s="10" t="str">
        <f t="shared" si="10"/>
        <v>○</v>
      </c>
      <c r="AS3" s="8">
        <f t="shared" si="11"/>
        <v>50000</v>
      </c>
      <c r="AT3" s="10" t="str">
        <f t="shared" si="12"/>
        <v>○</v>
      </c>
      <c r="AU3" s="8">
        <f t="shared" si="13"/>
        <v>2166.666666666667</v>
      </c>
      <c r="AV3" s="10" t="str">
        <f t="shared" si="14"/>
        <v>○</v>
      </c>
      <c r="AW3" s="8">
        <f t="shared" si="15"/>
        <v>50000</v>
      </c>
      <c r="AX3" s="10" t="str">
        <f t="shared" si="16"/>
        <v>○</v>
      </c>
      <c r="AY3" s="8">
        <f t="shared" si="17"/>
        <v>50000</v>
      </c>
      <c r="AZ3" s="10" t="str">
        <f t="shared" si="18"/>
        <v>○</v>
      </c>
      <c r="BA3" s="8">
        <f t="shared" si="19"/>
        <v>2166.666666666667</v>
      </c>
      <c r="BB3" s="10" t="str">
        <f t="shared" si="20"/>
        <v>○</v>
      </c>
      <c r="BC3" s="8">
        <f t="shared" si="21"/>
        <v>50000</v>
      </c>
      <c r="BD3" s="10" t="str">
        <f t="shared" si="22"/>
        <v>○</v>
      </c>
      <c r="BE3" s="8">
        <f t="shared" si="23"/>
        <v>50000</v>
      </c>
      <c r="BF3" s="10" t="str">
        <f t="shared" si="24"/>
        <v>○</v>
      </c>
      <c r="BG3" s="8">
        <f t="shared" si="25"/>
        <v>2166.666666666667</v>
      </c>
      <c r="BH3" s="10" t="str">
        <f t="shared" si="26"/>
        <v>○</v>
      </c>
      <c r="BI3" s="8">
        <f t="shared" si="27"/>
        <v>50000</v>
      </c>
      <c r="BJ3" s="1" t="s">
        <v>977</v>
      </c>
      <c r="BK3" s="1" t="s">
        <v>1102</v>
      </c>
      <c r="BL3" s="1" t="s">
        <v>977</v>
      </c>
      <c r="BM3" s="1" t="s">
        <v>977</v>
      </c>
      <c r="BN3" s="1" t="s">
        <v>1102</v>
      </c>
      <c r="BO3" s="1" t="s">
        <v>1102</v>
      </c>
      <c r="BP3" s="1" t="s">
        <v>1103</v>
      </c>
      <c r="BQ3" s="1" t="s">
        <v>1103</v>
      </c>
      <c r="BR3" s="1" t="s">
        <v>1103</v>
      </c>
      <c r="BS3" s="1" t="s">
        <v>1103</v>
      </c>
      <c r="BT3" s="1" t="s">
        <v>1103</v>
      </c>
      <c r="BV3" s="1"/>
    </row>
    <row r="4" spans="1:74" x14ac:dyDescent="0.3">
      <c r="A4">
        <v>3</v>
      </c>
      <c r="B4" t="s">
        <v>596</v>
      </c>
      <c r="C4" t="s">
        <v>601</v>
      </c>
      <c r="D4" t="s">
        <v>63</v>
      </c>
      <c r="E4" t="s">
        <v>824</v>
      </c>
      <c r="F4" t="s">
        <v>894</v>
      </c>
      <c r="G4" t="s">
        <v>953</v>
      </c>
      <c r="H4">
        <v>1</v>
      </c>
      <c r="I4" s="8">
        <v>20000</v>
      </c>
      <c r="J4" s="8">
        <v>10</v>
      </c>
      <c r="K4" s="39"/>
      <c r="L4" s="8"/>
      <c r="M4" s="8"/>
      <c r="N4" s="8"/>
      <c r="O4" s="8"/>
      <c r="P4" s="8">
        <f>IF($H4=1,IF(AND(I4&lt;&gt;"",J4&lt;&gt;""),I4/J4/12,""),IF($H4=2,IF(AND(K4&lt;&gt;"",L4&lt;&gt;"",M4&lt;&gt;""),K4*L4*M4,""),IF($H4=3,IF(AND(N4&lt;&gt;"",O4&lt;&gt;""),N4/O4/12,""),IF($H4=4,IF(AND(I4&lt;&gt;"",J4&lt;&gt;""),I4/J4/12,0)+IF(AND(K4&lt;&gt;"",L4&lt;&gt;"",M4&lt;&gt;""),K4*L4*M4,0),IF($H4=5,IF(AND(I4&lt;&gt;"",J4&lt;&gt;""),I4/J4/12,0)+IF(AND(N4&lt;&gt;"",O4&lt;&gt;""),N4/O4/12,0),IF($H4=6,IF(AND(K4&lt;&gt;"",L4&lt;&gt;"",M4&lt;&gt;""),K4*L4*M4,0)+IF(AND(N4&lt;&gt;"",O4&lt;&gt;""),N4/O4/12,0),""))))))</f>
        <v>166.66666666666666</v>
      </c>
      <c r="Q4" s="8">
        <v>1</v>
      </c>
      <c r="R4" s="8">
        <v>15000000</v>
      </c>
      <c r="S4" s="8">
        <v>8</v>
      </c>
      <c r="T4" s="39"/>
      <c r="U4" s="8"/>
      <c r="V4" s="8"/>
      <c r="W4" s="8">
        <v>1200000</v>
      </c>
      <c r="X4" s="8">
        <v>2</v>
      </c>
      <c r="Y4" s="8">
        <f t="shared" si="28"/>
        <v>156250</v>
      </c>
      <c r="Z4" s="8">
        <v>1</v>
      </c>
      <c r="AA4" s="8">
        <f>60000+40000</f>
        <v>100000</v>
      </c>
      <c r="AB4" s="8">
        <v>2</v>
      </c>
      <c r="AC4" s="39"/>
      <c r="AD4" s="8"/>
      <c r="AE4" s="8"/>
      <c r="AF4" s="8">
        <v>1200000</v>
      </c>
      <c r="AG4" s="8">
        <v>2</v>
      </c>
      <c r="AH4" s="8">
        <f t="shared" si="29"/>
        <v>4166.666666666667</v>
      </c>
      <c r="AI4" s="8">
        <f t="shared" si="1"/>
        <v>166.66666666666666</v>
      </c>
      <c r="AJ4" s="10" t="str">
        <f t="shared" si="2"/>
        <v>○</v>
      </c>
      <c r="AK4" s="8">
        <f t="shared" si="3"/>
        <v>156250</v>
      </c>
      <c r="AL4" s="10" t="str">
        <f t="shared" si="4"/>
        <v>○</v>
      </c>
      <c r="AM4" s="8">
        <f t="shared" si="5"/>
        <v>4166.666666666667</v>
      </c>
      <c r="AN4" s="10" t="str">
        <f t="shared" si="6"/>
        <v>○</v>
      </c>
      <c r="AO4" s="8">
        <f t="shared" si="7"/>
        <v>166.66666666666666</v>
      </c>
      <c r="AP4" s="10" t="str">
        <f t="shared" si="8"/>
        <v>○</v>
      </c>
      <c r="AQ4" s="8">
        <f t="shared" si="9"/>
        <v>156250</v>
      </c>
      <c r="AR4" s="10" t="str">
        <f t="shared" si="10"/>
        <v>○</v>
      </c>
      <c r="AS4" s="8">
        <f t="shared" si="11"/>
        <v>4166.666666666667</v>
      </c>
      <c r="AT4" s="10" t="str">
        <f t="shared" si="12"/>
        <v>○</v>
      </c>
      <c r="AU4" s="8">
        <f t="shared" si="13"/>
        <v>166.66666666666666</v>
      </c>
      <c r="AV4" s="10" t="str">
        <f t="shared" si="14"/>
        <v>○</v>
      </c>
      <c r="AW4" s="8">
        <f t="shared" si="15"/>
        <v>156250</v>
      </c>
      <c r="AX4" s="10" t="str">
        <f t="shared" si="16"/>
        <v>○</v>
      </c>
      <c r="AY4" s="8">
        <f t="shared" si="17"/>
        <v>4166.666666666667</v>
      </c>
      <c r="AZ4" s="10" t="str">
        <f t="shared" si="18"/>
        <v>○</v>
      </c>
      <c r="BA4" s="8">
        <f t="shared" si="19"/>
        <v>166.66666666666666</v>
      </c>
      <c r="BB4" s="10" t="str">
        <f t="shared" si="20"/>
        <v>○</v>
      </c>
      <c r="BC4" s="8">
        <f t="shared" si="21"/>
        <v>156250</v>
      </c>
      <c r="BD4" s="10" t="str">
        <f t="shared" si="22"/>
        <v>○</v>
      </c>
      <c r="BE4" s="8">
        <f t="shared" si="23"/>
        <v>4166.666666666667</v>
      </c>
      <c r="BF4" s="10" t="str">
        <f t="shared" si="24"/>
        <v>○</v>
      </c>
      <c r="BG4" s="8">
        <f t="shared" si="25"/>
        <v>166.66666666666666</v>
      </c>
      <c r="BH4" s="10" t="str">
        <f t="shared" si="26"/>
        <v>○</v>
      </c>
      <c r="BI4" s="8">
        <f t="shared" si="27"/>
        <v>156250</v>
      </c>
      <c r="BJ4" s="1" t="s">
        <v>977</v>
      </c>
      <c r="BK4" s="1" t="s">
        <v>1102</v>
      </c>
      <c r="BL4" s="1" t="s">
        <v>977</v>
      </c>
      <c r="BM4" s="1" t="s">
        <v>977</v>
      </c>
      <c r="BN4" s="1" t="s">
        <v>1102</v>
      </c>
      <c r="BO4" s="1" t="s">
        <v>1102</v>
      </c>
      <c r="BP4" s="1" t="s">
        <v>1103</v>
      </c>
      <c r="BQ4" s="1" t="s">
        <v>1103</v>
      </c>
      <c r="BR4" s="1" t="s">
        <v>1103</v>
      </c>
      <c r="BS4" s="1" t="s">
        <v>1103</v>
      </c>
      <c r="BT4" s="1" t="s">
        <v>1103</v>
      </c>
      <c r="BV4" s="1"/>
    </row>
    <row r="5" spans="1:74" x14ac:dyDescent="0.3">
      <c r="A5">
        <v>4</v>
      </c>
      <c r="B5" t="s">
        <v>596</v>
      </c>
      <c r="C5" t="s">
        <v>603</v>
      </c>
      <c r="D5" t="s">
        <v>63</v>
      </c>
      <c r="E5" t="s">
        <v>604</v>
      </c>
      <c r="F5" t="s">
        <v>483</v>
      </c>
      <c r="G5" t="s">
        <v>1051</v>
      </c>
      <c r="H5">
        <v>5</v>
      </c>
      <c r="I5" s="8">
        <v>40000</v>
      </c>
      <c r="J5" s="8">
        <v>5</v>
      </c>
      <c r="K5" s="39"/>
      <c r="L5" s="8"/>
      <c r="M5" s="8"/>
      <c r="N5" s="8">
        <v>10000</v>
      </c>
      <c r="O5" s="8">
        <v>1</v>
      </c>
      <c r="P5" s="8">
        <f t="shared" si="0"/>
        <v>1500</v>
      </c>
      <c r="Q5" s="8">
        <v>5</v>
      </c>
      <c r="R5" s="8"/>
      <c r="S5" s="8"/>
      <c r="T5" s="39">
        <v>8.3333333333333329E-2</v>
      </c>
      <c r="U5" s="8">
        <v>12</v>
      </c>
      <c r="V5" s="8">
        <v>48000</v>
      </c>
      <c r="W5" s="8">
        <v>60000</v>
      </c>
      <c r="X5" s="8">
        <v>0.5</v>
      </c>
      <c r="Y5" s="8">
        <f t="shared" si="28"/>
        <v>10000</v>
      </c>
      <c r="Z5" s="8">
        <v>5</v>
      </c>
      <c r="AA5" s="8">
        <v>300000</v>
      </c>
      <c r="AB5" s="8">
        <v>1</v>
      </c>
      <c r="AC5" s="39"/>
      <c r="AD5" s="8"/>
      <c r="AE5" s="8"/>
      <c r="AF5" s="8">
        <v>60000</v>
      </c>
      <c r="AG5" s="8">
        <v>1</v>
      </c>
      <c r="AH5" s="8">
        <f t="shared" si="29"/>
        <v>30000</v>
      </c>
      <c r="AI5" s="8">
        <f t="shared" si="1"/>
        <v>1500</v>
      </c>
      <c r="AJ5" s="10" t="str">
        <f t="shared" si="2"/>
        <v>○</v>
      </c>
      <c r="AK5" s="8">
        <f t="shared" si="3"/>
        <v>10000</v>
      </c>
      <c r="AL5" s="10" t="str">
        <f t="shared" si="4"/>
        <v>○</v>
      </c>
      <c r="AM5" s="8">
        <f t="shared" si="5"/>
        <v>30000</v>
      </c>
      <c r="AN5" s="10" t="str">
        <f t="shared" si="6"/>
        <v>○</v>
      </c>
      <c r="AO5" s="8">
        <f t="shared" si="7"/>
        <v>1500</v>
      </c>
      <c r="AP5" s="10" t="str">
        <f t="shared" si="8"/>
        <v>○</v>
      </c>
      <c r="AQ5" s="8">
        <f t="shared" si="9"/>
        <v>10000</v>
      </c>
      <c r="AR5" s="10" t="str">
        <f t="shared" si="10"/>
        <v>○</v>
      </c>
      <c r="AS5" s="8">
        <f t="shared" si="11"/>
        <v>30000</v>
      </c>
      <c r="AT5" s="10" t="str">
        <f t="shared" si="12"/>
        <v>○</v>
      </c>
      <c r="AU5" s="8">
        <f t="shared" si="13"/>
        <v>1500</v>
      </c>
      <c r="AV5" s="10" t="str">
        <f t="shared" si="14"/>
        <v>○</v>
      </c>
      <c r="AW5" s="8">
        <f t="shared" si="15"/>
        <v>10000</v>
      </c>
      <c r="AX5" s="10" t="str">
        <f t="shared" si="16"/>
        <v>○</v>
      </c>
      <c r="AY5" s="8">
        <f t="shared" si="17"/>
        <v>30000</v>
      </c>
      <c r="AZ5" s="10" t="str">
        <f t="shared" si="18"/>
        <v>○</v>
      </c>
      <c r="BA5" s="8">
        <f t="shared" si="19"/>
        <v>1500</v>
      </c>
      <c r="BB5" s="10" t="str">
        <f t="shared" si="20"/>
        <v>○</v>
      </c>
      <c r="BC5" s="8">
        <f t="shared" si="21"/>
        <v>10000</v>
      </c>
      <c r="BD5" s="10" t="str">
        <f t="shared" si="22"/>
        <v>○</v>
      </c>
      <c r="BE5" s="8">
        <f t="shared" si="23"/>
        <v>30000</v>
      </c>
      <c r="BF5" s="10" t="str">
        <f t="shared" si="24"/>
        <v>○</v>
      </c>
      <c r="BG5" s="8">
        <f t="shared" si="25"/>
        <v>1500</v>
      </c>
      <c r="BH5" s="10" t="str">
        <f t="shared" si="26"/>
        <v>○</v>
      </c>
      <c r="BI5" s="8">
        <f t="shared" si="27"/>
        <v>10000</v>
      </c>
      <c r="BJ5" s="1" t="s">
        <v>977</v>
      </c>
      <c r="BK5" s="1" t="s">
        <v>1102</v>
      </c>
      <c r="BL5" s="1" t="s">
        <v>977</v>
      </c>
      <c r="BM5" s="1" t="s">
        <v>977</v>
      </c>
      <c r="BN5" s="1" t="s">
        <v>977</v>
      </c>
      <c r="BO5" s="1" t="s">
        <v>1102</v>
      </c>
      <c r="BP5" s="1" t="s">
        <v>1103</v>
      </c>
      <c r="BQ5" s="1" t="s">
        <v>1103</v>
      </c>
      <c r="BR5" s="1" t="s">
        <v>1103</v>
      </c>
      <c r="BS5" s="1" t="s">
        <v>1103</v>
      </c>
      <c r="BT5" s="1" t="s">
        <v>1103</v>
      </c>
    </row>
    <row r="6" spans="1:74" x14ac:dyDescent="0.3">
      <c r="A6">
        <v>5</v>
      </c>
      <c r="B6" t="s">
        <v>596</v>
      </c>
      <c r="C6" t="s">
        <v>605</v>
      </c>
      <c r="D6" t="s">
        <v>111</v>
      </c>
      <c r="E6" t="s">
        <v>734</v>
      </c>
      <c r="F6" t="s">
        <v>485</v>
      </c>
      <c r="G6" t="s">
        <v>486</v>
      </c>
      <c r="H6">
        <v>5</v>
      </c>
      <c r="I6" s="8">
        <v>200000</v>
      </c>
      <c r="J6" s="8">
        <v>5</v>
      </c>
      <c r="K6" s="39"/>
      <c r="L6" s="8"/>
      <c r="M6" s="8"/>
      <c r="N6" s="8">
        <v>50000</v>
      </c>
      <c r="O6" s="8">
        <v>1</v>
      </c>
      <c r="P6" s="8">
        <f t="shared" si="0"/>
        <v>7500</v>
      </c>
      <c r="Q6" s="8">
        <v>5</v>
      </c>
      <c r="R6" s="8"/>
      <c r="S6" s="8"/>
      <c r="T6" s="39">
        <v>8.3333333333333329E-2</v>
      </c>
      <c r="U6" s="8">
        <v>12</v>
      </c>
      <c r="V6" s="8">
        <v>45000</v>
      </c>
      <c r="W6" s="8"/>
      <c r="X6" s="8"/>
      <c r="Y6" s="8">
        <f t="shared" si="28"/>
        <v>0</v>
      </c>
      <c r="Z6" s="8">
        <v>2</v>
      </c>
      <c r="AA6" s="8"/>
      <c r="AB6" s="8"/>
      <c r="AC6" s="39">
        <v>8.3333333333333329E-2</v>
      </c>
      <c r="AD6" s="8">
        <v>48</v>
      </c>
      <c r="AE6" s="8">
        <v>12000</v>
      </c>
      <c r="AF6" s="8"/>
      <c r="AG6" s="8"/>
      <c r="AH6" s="8">
        <f t="shared" si="29"/>
        <v>48000</v>
      </c>
      <c r="AI6" s="8">
        <f t="shared" si="1"/>
        <v>7500</v>
      </c>
      <c r="AJ6" s="10" t="str">
        <f t="shared" si="2"/>
        <v>○</v>
      </c>
      <c r="AK6" s="8">
        <f t="shared" si="3"/>
        <v>0</v>
      </c>
      <c r="AL6" s="10" t="str">
        <f t="shared" si="4"/>
        <v>○</v>
      </c>
      <c r="AM6" s="8">
        <f t="shared" si="5"/>
        <v>48000</v>
      </c>
      <c r="AN6" s="10" t="str">
        <f t="shared" si="6"/>
        <v>○</v>
      </c>
      <c r="AO6" s="8">
        <f t="shared" si="7"/>
        <v>7500</v>
      </c>
      <c r="AP6" s="10" t="str">
        <f t="shared" si="8"/>
        <v>○</v>
      </c>
      <c r="AQ6" s="8">
        <f t="shared" si="9"/>
        <v>0</v>
      </c>
      <c r="AR6" s="10" t="str">
        <f t="shared" si="10"/>
        <v>○</v>
      </c>
      <c r="AS6" s="8">
        <f t="shared" si="11"/>
        <v>48000</v>
      </c>
      <c r="AT6" s="10" t="str">
        <f t="shared" si="12"/>
        <v>○</v>
      </c>
      <c r="AU6" s="8">
        <f t="shared" si="13"/>
        <v>7500</v>
      </c>
      <c r="AV6" s="10" t="str">
        <f t="shared" si="14"/>
        <v>○</v>
      </c>
      <c r="AW6" s="8">
        <f t="shared" si="15"/>
        <v>0</v>
      </c>
      <c r="AX6" s="10" t="str">
        <f t="shared" si="16"/>
        <v>○</v>
      </c>
      <c r="AY6" s="8">
        <f t="shared" si="17"/>
        <v>48000</v>
      </c>
      <c r="AZ6" s="10" t="str">
        <f t="shared" si="18"/>
        <v>○</v>
      </c>
      <c r="BA6" s="8">
        <f t="shared" si="19"/>
        <v>7500</v>
      </c>
      <c r="BB6" s="10" t="str">
        <f t="shared" si="20"/>
        <v>○</v>
      </c>
      <c r="BC6" s="8">
        <f t="shared" si="21"/>
        <v>0</v>
      </c>
      <c r="BD6" s="10" t="str">
        <f t="shared" si="22"/>
        <v>○</v>
      </c>
      <c r="BE6" s="8">
        <f t="shared" si="23"/>
        <v>48000</v>
      </c>
      <c r="BF6" s="10" t="str">
        <f t="shared" si="24"/>
        <v>○</v>
      </c>
      <c r="BG6" s="8">
        <f t="shared" si="25"/>
        <v>7500</v>
      </c>
      <c r="BH6" s="10" t="str">
        <f t="shared" si="26"/>
        <v>○</v>
      </c>
      <c r="BI6" s="8">
        <f t="shared" si="27"/>
        <v>0</v>
      </c>
      <c r="BJ6" s="1" t="s">
        <v>977</v>
      </c>
      <c r="BK6" s="1" t="s">
        <v>1102</v>
      </c>
      <c r="BL6" s="1" t="s">
        <v>977</v>
      </c>
      <c r="BM6" s="1" t="s">
        <v>977</v>
      </c>
      <c r="BN6" s="1" t="s">
        <v>977</v>
      </c>
      <c r="BO6" s="1" t="s">
        <v>1102</v>
      </c>
      <c r="BP6" s="1" t="s">
        <v>1103</v>
      </c>
      <c r="BQ6" s="1" t="s">
        <v>1103</v>
      </c>
      <c r="BR6" s="1" t="s">
        <v>1103</v>
      </c>
      <c r="BS6" s="1" t="s">
        <v>1103</v>
      </c>
      <c r="BT6" s="1" t="s">
        <v>1103</v>
      </c>
    </row>
    <row r="7" spans="1:74" x14ac:dyDescent="0.3">
      <c r="A7">
        <v>6</v>
      </c>
      <c r="B7" t="s">
        <v>596</v>
      </c>
      <c r="C7" t="s">
        <v>606</v>
      </c>
      <c r="D7" t="s">
        <v>63</v>
      </c>
      <c r="E7" t="s">
        <v>607</v>
      </c>
      <c r="F7" t="s">
        <v>487</v>
      </c>
      <c r="G7" t="s">
        <v>488</v>
      </c>
      <c r="H7">
        <v>1</v>
      </c>
      <c r="I7" s="8">
        <v>37500</v>
      </c>
      <c r="J7" s="8">
        <v>5</v>
      </c>
      <c r="K7" s="39"/>
      <c r="L7" s="8"/>
      <c r="M7" s="8"/>
      <c r="N7" s="8"/>
      <c r="O7" s="8"/>
      <c r="P7" s="8">
        <f t="shared" si="0"/>
        <v>625</v>
      </c>
      <c r="Q7" s="8">
        <v>1</v>
      </c>
      <c r="R7" s="8">
        <v>600000</v>
      </c>
      <c r="S7" s="8">
        <v>5</v>
      </c>
      <c r="T7" s="39"/>
      <c r="U7" s="8"/>
      <c r="V7" s="8"/>
      <c r="W7" s="8"/>
      <c r="X7" s="8"/>
      <c r="Y7" s="8">
        <f t="shared" si="28"/>
        <v>10000</v>
      </c>
      <c r="Z7" s="8">
        <v>1</v>
      </c>
      <c r="AA7" s="8">
        <v>120000</v>
      </c>
      <c r="AB7" s="8">
        <v>5</v>
      </c>
      <c r="AC7" s="39"/>
      <c r="AD7" s="8"/>
      <c r="AE7" s="8"/>
      <c r="AF7" s="8"/>
      <c r="AG7" s="8"/>
      <c r="AH7" s="8">
        <f t="shared" si="29"/>
        <v>2000</v>
      </c>
      <c r="AI7" s="8">
        <f t="shared" si="1"/>
        <v>625</v>
      </c>
      <c r="AJ7" s="10" t="str">
        <f t="shared" si="2"/>
        <v>○</v>
      </c>
      <c r="AK7" s="8">
        <f t="shared" si="3"/>
        <v>10000</v>
      </c>
      <c r="AL7" s="10" t="str">
        <f t="shared" si="4"/>
        <v>○</v>
      </c>
      <c r="AM7" s="8">
        <f t="shared" si="5"/>
        <v>2000</v>
      </c>
      <c r="AN7" s="10" t="str">
        <f t="shared" si="6"/>
        <v>○</v>
      </c>
      <c r="AO7" s="8">
        <f t="shared" si="7"/>
        <v>625</v>
      </c>
      <c r="AP7" s="10" t="str">
        <f t="shared" si="8"/>
        <v>○</v>
      </c>
      <c r="AQ7" s="8">
        <f t="shared" si="9"/>
        <v>10000</v>
      </c>
      <c r="AR7" s="10" t="str">
        <f t="shared" si="10"/>
        <v>○</v>
      </c>
      <c r="AS7" s="8">
        <f t="shared" si="11"/>
        <v>2000</v>
      </c>
      <c r="AT7" s="10" t="str">
        <f t="shared" si="12"/>
        <v>○</v>
      </c>
      <c r="AU7" s="8">
        <f t="shared" si="13"/>
        <v>625</v>
      </c>
      <c r="AV7" s="10" t="str">
        <f t="shared" si="14"/>
        <v>○</v>
      </c>
      <c r="AW7" s="8">
        <f t="shared" si="15"/>
        <v>10000</v>
      </c>
      <c r="AX7" s="10" t="str">
        <f t="shared" si="16"/>
        <v>○</v>
      </c>
      <c r="AY7" s="8">
        <f t="shared" si="17"/>
        <v>2000</v>
      </c>
      <c r="AZ7" s="10" t="str">
        <f t="shared" si="18"/>
        <v>○</v>
      </c>
      <c r="BA7" s="8">
        <f t="shared" si="19"/>
        <v>625</v>
      </c>
      <c r="BB7" s="10" t="str">
        <f t="shared" si="20"/>
        <v>○</v>
      </c>
      <c r="BC7" s="8">
        <f t="shared" si="21"/>
        <v>10000</v>
      </c>
      <c r="BD7" s="10" t="str">
        <f t="shared" si="22"/>
        <v>○</v>
      </c>
      <c r="BE7" s="8">
        <f t="shared" si="23"/>
        <v>2000</v>
      </c>
      <c r="BF7" s="10" t="str">
        <f t="shared" si="24"/>
        <v>○</v>
      </c>
      <c r="BG7" s="8">
        <f t="shared" si="25"/>
        <v>625</v>
      </c>
      <c r="BH7" s="10" t="str">
        <f t="shared" si="26"/>
        <v>○</v>
      </c>
      <c r="BI7" s="8">
        <f t="shared" si="27"/>
        <v>10000</v>
      </c>
      <c r="BJ7" s="1" t="s">
        <v>977</v>
      </c>
      <c r="BK7" s="1" t="s">
        <v>1102</v>
      </c>
      <c r="BL7" s="1" t="s">
        <v>977</v>
      </c>
      <c r="BM7" s="1" t="s">
        <v>977</v>
      </c>
      <c r="BN7" s="1" t="s">
        <v>1102</v>
      </c>
      <c r="BO7" s="1" t="s">
        <v>1102</v>
      </c>
      <c r="BP7" s="1" t="s">
        <v>1103</v>
      </c>
      <c r="BQ7" s="1" t="s">
        <v>1103</v>
      </c>
      <c r="BR7" s="1" t="s">
        <v>1103</v>
      </c>
      <c r="BS7" s="1" t="s">
        <v>1103</v>
      </c>
      <c r="BT7" s="1" t="s">
        <v>1103</v>
      </c>
    </row>
    <row r="8" spans="1:74" x14ac:dyDescent="0.3">
      <c r="A8">
        <v>7</v>
      </c>
      <c r="B8" t="s">
        <v>596</v>
      </c>
      <c r="C8" t="s">
        <v>608</v>
      </c>
      <c r="D8" t="s">
        <v>36</v>
      </c>
      <c r="E8" t="s">
        <v>609</v>
      </c>
      <c r="F8" t="s">
        <v>271</v>
      </c>
      <c r="G8" t="s">
        <v>1052</v>
      </c>
      <c r="H8">
        <v>1</v>
      </c>
      <c r="I8" s="8">
        <v>10000</v>
      </c>
      <c r="J8" s="8">
        <v>5</v>
      </c>
      <c r="K8" s="39"/>
      <c r="L8" s="8"/>
      <c r="M8" s="8"/>
      <c r="N8" s="8"/>
      <c r="O8" s="8"/>
      <c r="P8" s="8">
        <f t="shared" si="0"/>
        <v>166.66666666666666</v>
      </c>
      <c r="Q8" s="8">
        <v>1</v>
      </c>
      <c r="R8" s="8">
        <v>250000</v>
      </c>
      <c r="S8" s="8">
        <v>5</v>
      </c>
      <c r="T8" s="39"/>
      <c r="U8" s="8"/>
      <c r="V8" s="8"/>
      <c r="W8" s="8"/>
      <c r="X8" s="8"/>
      <c r="Y8" s="8">
        <f t="shared" si="28"/>
        <v>4166.666666666667</v>
      </c>
      <c r="Z8" s="8">
        <v>1</v>
      </c>
      <c r="AA8" s="8"/>
      <c r="AB8" s="8"/>
      <c r="AC8" s="39"/>
      <c r="AD8" s="8"/>
      <c r="AE8" s="8"/>
      <c r="AF8" s="8"/>
      <c r="AG8" s="8"/>
      <c r="AH8" s="8" t="str">
        <f t="shared" si="29"/>
        <v/>
      </c>
      <c r="AI8" s="8">
        <f t="shared" si="1"/>
        <v>166.66666666666666</v>
      </c>
      <c r="AJ8" s="10" t="str">
        <f t="shared" si="2"/>
        <v>○</v>
      </c>
      <c r="AK8" s="8">
        <f t="shared" si="3"/>
        <v>4166.666666666667</v>
      </c>
      <c r="AL8" s="10" t="str">
        <f t="shared" si="4"/>
        <v>○</v>
      </c>
      <c r="AM8" s="8" t="str">
        <f t="shared" si="5"/>
        <v/>
      </c>
      <c r="AN8" s="10" t="str">
        <f t="shared" si="6"/>
        <v>○</v>
      </c>
      <c r="AO8" s="8">
        <f t="shared" si="7"/>
        <v>166.66666666666666</v>
      </c>
      <c r="AP8" s="10" t="str">
        <f t="shared" si="8"/>
        <v>○</v>
      </c>
      <c r="AQ8" s="8">
        <f t="shared" si="9"/>
        <v>4166.666666666667</v>
      </c>
      <c r="AR8" s="10" t="str">
        <f t="shared" si="10"/>
        <v>○</v>
      </c>
      <c r="AS8" s="8" t="str">
        <f t="shared" si="11"/>
        <v/>
      </c>
      <c r="AT8" s="10" t="str">
        <f t="shared" si="12"/>
        <v>○</v>
      </c>
      <c r="AU8" s="8">
        <f t="shared" si="13"/>
        <v>166.66666666666666</v>
      </c>
      <c r="AV8" s="10" t="str">
        <f t="shared" si="14"/>
        <v>○</v>
      </c>
      <c r="AW8" s="8">
        <f t="shared" si="15"/>
        <v>4166.666666666667</v>
      </c>
      <c r="AX8" s="10" t="str">
        <f t="shared" si="16"/>
        <v>○</v>
      </c>
      <c r="AY8" s="8" t="str">
        <f t="shared" si="17"/>
        <v/>
      </c>
      <c r="AZ8" s="10" t="str">
        <f t="shared" si="18"/>
        <v>○</v>
      </c>
      <c r="BA8" s="8">
        <f t="shared" si="19"/>
        <v>166.66666666666666</v>
      </c>
      <c r="BB8" s="10" t="str">
        <f t="shared" si="20"/>
        <v>○</v>
      </c>
      <c r="BC8" s="8">
        <f t="shared" si="21"/>
        <v>4166.666666666667</v>
      </c>
      <c r="BD8" s="10" t="str">
        <f t="shared" si="22"/>
        <v>○</v>
      </c>
      <c r="BE8" s="8" t="str">
        <f t="shared" si="23"/>
        <v/>
      </c>
      <c r="BF8" s="10" t="str">
        <f t="shared" si="24"/>
        <v>○</v>
      </c>
      <c r="BG8" s="8">
        <f t="shared" si="25"/>
        <v>166.66666666666666</v>
      </c>
      <c r="BH8" s="10" t="str">
        <f t="shared" si="26"/>
        <v>○</v>
      </c>
      <c r="BI8" s="8">
        <f t="shared" si="27"/>
        <v>4166.666666666667</v>
      </c>
      <c r="BJ8" s="1" t="s">
        <v>977</v>
      </c>
      <c r="BK8" s="1" t="s">
        <v>1102</v>
      </c>
      <c r="BL8" s="1" t="s">
        <v>977</v>
      </c>
      <c r="BM8" s="1" t="s">
        <v>977</v>
      </c>
      <c r="BN8" s="1" t="s">
        <v>977</v>
      </c>
      <c r="BO8" s="1" t="s">
        <v>1102</v>
      </c>
      <c r="BP8" s="1" t="s">
        <v>1103</v>
      </c>
      <c r="BQ8" s="1" t="s">
        <v>1103</v>
      </c>
      <c r="BR8" s="1" t="s">
        <v>1103</v>
      </c>
      <c r="BS8" s="1" t="s">
        <v>1103</v>
      </c>
      <c r="BT8" s="1" t="s">
        <v>1103</v>
      </c>
    </row>
    <row r="9" spans="1:74" x14ac:dyDescent="0.3">
      <c r="A9">
        <v>8</v>
      </c>
      <c r="B9" t="s">
        <v>596</v>
      </c>
      <c r="C9" t="s">
        <v>1053</v>
      </c>
      <c r="D9" t="s">
        <v>123</v>
      </c>
      <c r="E9" t="s">
        <v>1054</v>
      </c>
      <c r="F9" t="s">
        <v>274</v>
      </c>
      <c r="G9" t="s">
        <v>1055</v>
      </c>
      <c r="H9">
        <v>5</v>
      </c>
      <c r="I9" s="8">
        <v>150000</v>
      </c>
      <c r="J9" s="8">
        <v>8</v>
      </c>
      <c r="K9" s="39"/>
      <c r="L9" s="8"/>
      <c r="M9" s="8"/>
      <c r="N9" s="8">
        <v>10000</v>
      </c>
      <c r="O9" s="8">
        <v>3</v>
      </c>
      <c r="P9" s="8">
        <f t="shared" si="0"/>
        <v>1840.2777777777778</v>
      </c>
      <c r="Q9" s="8">
        <v>1</v>
      </c>
      <c r="R9" s="8">
        <v>200000</v>
      </c>
      <c r="S9" s="8">
        <v>2</v>
      </c>
      <c r="T9" s="39"/>
      <c r="U9" s="8"/>
      <c r="V9" s="8"/>
      <c r="W9" s="8"/>
      <c r="X9" s="8"/>
      <c r="Y9" s="8">
        <f t="shared" si="28"/>
        <v>8333.3333333333339</v>
      </c>
      <c r="Z9" s="8">
        <v>3</v>
      </c>
      <c r="AA9" s="8"/>
      <c r="AB9" s="8"/>
      <c r="AC9" s="39"/>
      <c r="AD9" s="8"/>
      <c r="AE9" s="8"/>
      <c r="AF9" s="8">
        <v>10000</v>
      </c>
      <c r="AG9" s="8">
        <v>3</v>
      </c>
      <c r="AH9" s="8">
        <f t="shared" si="29"/>
        <v>277.77777777777777</v>
      </c>
      <c r="AI9" s="8">
        <f t="shared" si="1"/>
        <v>1840.2777777777778</v>
      </c>
      <c r="AJ9" s="10" t="str">
        <f t="shared" si="2"/>
        <v>○</v>
      </c>
      <c r="AK9" s="8">
        <f t="shared" si="3"/>
        <v>8333.3333333333339</v>
      </c>
      <c r="AL9" s="10" t="str">
        <f t="shared" si="4"/>
        <v>○</v>
      </c>
      <c r="AM9" s="8">
        <f t="shared" si="5"/>
        <v>277.77777777777777</v>
      </c>
      <c r="AN9" s="10" t="str">
        <f t="shared" si="6"/>
        <v>○</v>
      </c>
      <c r="AO9" s="8">
        <f t="shared" si="7"/>
        <v>1840.2777777777778</v>
      </c>
      <c r="AP9" s="10" t="str">
        <f t="shared" si="8"/>
        <v>○</v>
      </c>
      <c r="AQ9" s="8">
        <f t="shared" si="9"/>
        <v>8333.3333333333339</v>
      </c>
      <c r="AR9" s="10" t="str">
        <f t="shared" si="10"/>
        <v>○</v>
      </c>
      <c r="AS9" s="8">
        <f t="shared" si="11"/>
        <v>277.77777777777777</v>
      </c>
      <c r="AT9" s="10" t="str">
        <f t="shared" si="12"/>
        <v>○</v>
      </c>
      <c r="AU9" s="8">
        <f t="shared" si="13"/>
        <v>1840.2777777777778</v>
      </c>
      <c r="AV9" s="10" t="str">
        <f t="shared" si="14"/>
        <v>○</v>
      </c>
      <c r="AW9" s="8">
        <f t="shared" si="15"/>
        <v>8333.3333333333339</v>
      </c>
      <c r="AX9" s="10" t="str">
        <f t="shared" si="16"/>
        <v>○</v>
      </c>
      <c r="AY9" s="8">
        <f t="shared" si="17"/>
        <v>277.77777777777777</v>
      </c>
      <c r="AZ9" s="10" t="str">
        <f t="shared" si="18"/>
        <v>○</v>
      </c>
      <c r="BA9" s="8">
        <f t="shared" si="19"/>
        <v>1840.2777777777778</v>
      </c>
      <c r="BB9" s="10" t="str">
        <f t="shared" si="20"/>
        <v>○</v>
      </c>
      <c r="BC9" s="8">
        <f t="shared" si="21"/>
        <v>8333.3333333333339</v>
      </c>
      <c r="BD9" s="10" t="str">
        <f t="shared" si="22"/>
        <v>○</v>
      </c>
      <c r="BE9" s="8">
        <f t="shared" si="23"/>
        <v>277.77777777777777</v>
      </c>
      <c r="BF9" s="10" t="str">
        <f t="shared" si="24"/>
        <v>○</v>
      </c>
      <c r="BG9" s="8">
        <f t="shared" si="25"/>
        <v>1840.2777777777778</v>
      </c>
      <c r="BH9" s="10" t="str">
        <f t="shared" si="26"/>
        <v>○</v>
      </c>
      <c r="BI9" s="8">
        <f t="shared" si="27"/>
        <v>8333.3333333333339</v>
      </c>
      <c r="BJ9" s="1" t="s">
        <v>977</v>
      </c>
      <c r="BK9" s="1" t="s">
        <v>1102</v>
      </c>
      <c r="BL9" s="1" t="s">
        <v>977</v>
      </c>
      <c r="BM9" s="1" t="s">
        <v>977</v>
      </c>
      <c r="BN9" s="1" t="s">
        <v>977</v>
      </c>
      <c r="BO9" s="1" t="s">
        <v>1102</v>
      </c>
      <c r="BP9" s="1" t="s">
        <v>1103</v>
      </c>
      <c r="BQ9" s="1" t="s">
        <v>1103</v>
      </c>
      <c r="BR9" s="1" t="s">
        <v>1103</v>
      </c>
      <c r="BS9" s="1" t="s">
        <v>1103</v>
      </c>
      <c r="BT9" s="1" t="s">
        <v>1103</v>
      </c>
    </row>
    <row r="10" spans="1:74" x14ac:dyDescent="0.3">
      <c r="A10">
        <v>9</v>
      </c>
      <c r="B10" t="s">
        <v>596</v>
      </c>
      <c r="C10" t="s">
        <v>613</v>
      </c>
      <c r="D10" t="s">
        <v>111</v>
      </c>
      <c r="E10" t="s">
        <v>615</v>
      </c>
      <c r="F10" t="s">
        <v>454</v>
      </c>
      <c r="G10" t="s">
        <v>1056</v>
      </c>
      <c r="H10">
        <v>5</v>
      </c>
      <c r="I10" s="8">
        <v>160000</v>
      </c>
      <c r="J10" s="8">
        <v>5</v>
      </c>
      <c r="K10" s="39"/>
      <c r="L10" s="8"/>
      <c r="M10" s="8"/>
      <c r="N10" s="8">
        <v>6000</v>
      </c>
      <c r="O10" s="8">
        <v>0.5</v>
      </c>
      <c r="P10" s="8">
        <f t="shared" si="0"/>
        <v>3666.6666666666665</v>
      </c>
      <c r="Q10" s="8">
        <v>5</v>
      </c>
      <c r="R10" s="8"/>
      <c r="S10" s="8"/>
      <c r="T10" s="39">
        <v>8.3333333333333329E-2</v>
      </c>
      <c r="U10" s="8">
        <v>12</v>
      </c>
      <c r="V10" s="8">
        <v>30000</v>
      </c>
      <c r="W10" s="8"/>
      <c r="X10" s="8"/>
      <c r="Y10" s="8">
        <f t="shared" si="28"/>
        <v>0</v>
      </c>
      <c r="Z10" s="8">
        <v>5</v>
      </c>
      <c r="AA10" s="8">
        <v>160000</v>
      </c>
      <c r="AB10" s="8">
        <v>2</v>
      </c>
      <c r="AC10" s="39"/>
      <c r="AD10" s="8"/>
      <c r="AE10" s="8"/>
      <c r="AF10" s="8">
        <v>6000</v>
      </c>
      <c r="AG10" s="8">
        <v>0.25</v>
      </c>
      <c r="AH10" s="8">
        <f t="shared" si="29"/>
        <v>8666.6666666666679</v>
      </c>
      <c r="AI10" s="8">
        <f t="shared" si="1"/>
        <v>3666.6666666666665</v>
      </c>
      <c r="AJ10" s="10" t="str">
        <f t="shared" si="2"/>
        <v>○</v>
      </c>
      <c r="AK10" s="8">
        <f t="shared" si="3"/>
        <v>0</v>
      </c>
      <c r="AL10" s="10" t="str">
        <f t="shared" si="4"/>
        <v>○</v>
      </c>
      <c r="AM10" s="8">
        <f t="shared" si="5"/>
        <v>8666.6666666666679</v>
      </c>
      <c r="AN10" s="10" t="str">
        <f t="shared" si="6"/>
        <v>○</v>
      </c>
      <c r="AO10" s="8">
        <f t="shared" si="7"/>
        <v>3666.6666666666665</v>
      </c>
      <c r="AP10" s="10" t="str">
        <f t="shared" si="8"/>
        <v>○</v>
      </c>
      <c r="AQ10" s="8">
        <f t="shared" si="9"/>
        <v>0</v>
      </c>
      <c r="AR10" s="10" t="str">
        <f t="shared" si="10"/>
        <v>○</v>
      </c>
      <c r="AS10" s="8">
        <f t="shared" si="11"/>
        <v>8666.6666666666679</v>
      </c>
      <c r="AT10" s="10" t="str">
        <f t="shared" si="12"/>
        <v>○</v>
      </c>
      <c r="AU10" s="8">
        <f t="shared" si="13"/>
        <v>3666.6666666666665</v>
      </c>
      <c r="AV10" s="10" t="str">
        <f t="shared" si="14"/>
        <v>○</v>
      </c>
      <c r="AW10" s="8">
        <f t="shared" si="15"/>
        <v>0</v>
      </c>
      <c r="AX10" s="10" t="str">
        <f t="shared" si="16"/>
        <v>○</v>
      </c>
      <c r="AY10" s="8">
        <f t="shared" si="17"/>
        <v>8666.6666666666679</v>
      </c>
      <c r="AZ10" s="10" t="str">
        <f t="shared" si="18"/>
        <v>○</v>
      </c>
      <c r="BA10" s="8">
        <f t="shared" si="19"/>
        <v>3666.6666666666665</v>
      </c>
      <c r="BB10" s="10" t="str">
        <f t="shared" si="20"/>
        <v>○</v>
      </c>
      <c r="BC10" s="8">
        <f t="shared" si="21"/>
        <v>0</v>
      </c>
      <c r="BD10" s="10" t="str">
        <f t="shared" si="22"/>
        <v>○</v>
      </c>
      <c r="BE10" s="8">
        <f t="shared" si="23"/>
        <v>8666.6666666666679</v>
      </c>
      <c r="BF10" s="10" t="str">
        <f t="shared" si="24"/>
        <v>○</v>
      </c>
      <c r="BG10" s="8">
        <f t="shared" si="25"/>
        <v>3666.6666666666665</v>
      </c>
      <c r="BH10" s="10" t="str">
        <f t="shared" si="26"/>
        <v>○</v>
      </c>
      <c r="BI10" s="8">
        <f t="shared" si="27"/>
        <v>0</v>
      </c>
      <c r="BJ10" s="1" t="s">
        <v>977</v>
      </c>
      <c r="BK10" s="1" t="s">
        <v>1102</v>
      </c>
      <c r="BL10" s="1" t="s">
        <v>977</v>
      </c>
      <c r="BM10" s="1" t="s">
        <v>977</v>
      </c>
      <c r="BN10" s="1" t="s">
        <v>977</v>
      </c>
      <c r="BO10" s="1" t="s">
        <v>1102</v>
      </c>
      <c r="BP10" s="1" t="s">
        <v>1103</v>
      </c>
      <c r="BQ10" s="1" t="s">
        <v>1103</v>
      </c>
      <c r="BR10" s="1" t="s">
        <v>1103</v>
      </c>
      <c r="BS10" s="1" t="s">
        <v>1103</v>
      </c>
      <c r="BT10" s="1" t="s">
        <v>1103</v>
      </c>
    </row>
    <row r="11" spans="1:74" x14ac:dyDescent="0.3">
      <c r="A11">
        <v>10</v>
      </c>
      <c r="B11" t="s">
        <v>596</v>
      </c>
      <c r="C11" t="s">
        <v>616</v>
      </c>
      <c r="D11" t="s">
        <v>123</v>
      </c>
      <c r="E11" t="s">
        <v>735</v>
      </c>
      <c r="F11" t="s">
        <v>457</v>
      </c>
      <c r="G11" t="s">
        <v>458</v>
      </c>
      <c r="H11">
        <v>3</v>
      </c>
      <c r="I11" s="8"/>
      <c r="J11" s="8"/>
      <c r="K11" s="39"/>
      <c r="L11" s="8"/>
      <c r="M11" s="8"/>
      <c r="N11" s="8">
        <v>12000</v>
      </c>
      <c r="O11" s="8">
        <v>3</v>
      </c>
      <c r="P11" s="8">
        <f t="shared" si="0"/>
        <v>333.33333333333331</v>
      </c>
      <c r="Q11" s="8">
        <v>3</v>
      </c>
      <c r="R11" s="8">
        <v>60000</v>
      </c>
      <c r="S11" s="8">
        <v>1</v>
      </c>
      <c r="T11" s="39"/>
      <c r="U11" s="8"/>
      <c r="V11" s="8"/>
      <c r="W11" s="8"/>
      <c r="X11" s="8"/>
      <c r="Y11" s="8" t="str">
        <f t="shared" si="28"/>
        <v/>
      </c>
      <c r="Z11" s="8">
        <v>1</v>
      </c>
      <c r="AA11" s="8"/>
      <c r="AB11" s="8"/>
      <c r="AC11" s="39"/>
      <c r="AD11" s="8"/>
      <c r="AE11" s="8"/>
      <c r="AF11" s="8"/>
      <c r="AG11" s="8"/>
      <c r="AH11" s="8" t="str">
        <f t="shared" si="29"/>
        <v/>
      </c>
      <c r="AI11" s="8">
        <f t="shared" si="1"/>
        <v>333.33333333333331</v>
      </c>
      <c r="AJ11" s="10" t="str">
        <f t="shared" si="2"/>
        <v>○</v>
      </c>
      <c r="AK11" s="8" t="str">
        <f t="shared" si="3"/>
        <v/>
      </c>
      <c r="AL11" s="10" t="str">
        <f t="shared" si="4"/>
        <v>○</v>
      </c>
      <c r="AM11" s="8" t="str">
        <f t="shared" si="5"/>
        <v/>
      </c>
      <c r="AN11" s="10" t="str">
        <f t="shared" si="6"/>
        <v>○</v>
      </c>
      <c r="AO11" s="8">
        <f t="shared" si="7"/>
        <v>333.33333333333331</v>
      </c>
      <c r="AP11" s="10" t="str">
        <f t="shared" si="8"/>
        <v>○</v>
      </c>
      <c r="AQ11" s="8" t="str">
        <f t="shared" si="9"/>
        <v/>
      </c>
      <c r="AR11" s="10" t="str">
        <f t="shared" si="10"/>
        <v>○</v>
      </c>
      <c r="AS11" s="8" t="str">
        <f t="shared" si="11"/>
        <v/>
      </c>
      <c r="AT11" s="10" t="str">
        <f t="shared" si="12"/>
        <v>○</v>
      </c>
      <c r="AU11" s="8">
        <f t="shared" si="13"/>
        <v>333.33333333333331</v>
      </c>
      <c r="AV11" s="10" t="str">
        <f t="shared" si="14"/>
        <v>○</v>
      </c>
      <c r="AW11" s="8" t="str">
        <f t="shared" si="15"/>
        <v/>
      </c>
      <c r="AX11" s="10" t="str">
        <f t="shared" si="16"/>
        <v>○</v>
      </c>
      <c r="AY11" s="8" t="str">
        <f t="shared" si="17"/>
        <v/>
      </c>
      <c r="AZ11" s="10" t="str">
        <f t="shared" si="18"/>
        <v>○</v>
      </c>
      <c r="BA11" s="8">
        <f t="shared" si="19"/>
        <v>333.33333333333331</v>
      </c>
      <c r="BB11" s="10" t="str">
        <f t="shared" si="20"/>
        <v>○</v>
      </c>
      <c r="BC11" s="8" t="str">
        <f t="shared" si="21"/>
        <v/>
      </c>
      <c r="BD11" s="10" t="str">
        <f t="shared" si="22"/>
        <v>○</v>
      </c>
      <c r="BE11" s="8" t="str">
        <f t="shared" si="23"/>
        <v/>
      </c>
      <c r="BF11" s="10" t="str">
        <f t="shared" si="24"/>
        <v>○</v>
      </c>
      <c r="BG11" s="8">
        <f t="shared" si="25"/>
        <v>333.33333333333331</v>
      </c>
      <c r="BH11" s="10" t="str">
        <f t="shared" si="26"/>
        <v>○</v>
      </c>
      <c r="BI11" s="8" t="str">
        <f t="shared" si="27"/>
        <v/>
      </c>
      <c r="BJ11" s="1" t="s">
        <v>977</v>
      </c>
      <c r="BK11" s="1" t="s">
        <v>1102</v>
      </c>
      <c r="BL11" s="1" t="s">
        <v>977</v>
      </c>
      <c r="BM11" s="1" t="s">
        <v>977</v>
      </c>
      <c r="BN11" s="1" t="s">
        <v>977</v>
      </c>
      <c r="BO11" s="1" t="s">
        <v>1102</v>
      </c>
      <c r="BP11" s="1" t="s">
        <v>1103</v>
      </c>
      <c r="BQ11" s="1" t="s">
        <v>1103</v>
      </c>
      <c r="BR11" s="1" t="s">
        <v>1103</v>
      </c>
      <c r="BS11" s="1" t="s">
        <v>1103</v>
      </c>
      <c r="BT11" s="1" t="s">
        <v>1103</v>
      </c>
    </row>
    <row r="12" spans="1:74" x14ac:dyDescent="0.3">
      <c r="A12">
        <v>11</v>
      </c>
      <c r="B12" t="s">
        <v>596</v>
      </c>
      <c r="C12" t="s">
        <v>618</v>
      </c>
      <c r="D12" t="s">
        <v>63</v>
      </c>
      <c r="E12" t="s">
        <v>787</v>
      </c>
      <c r="F12" t="s">
        <v>956</v>
      </c>
      <c r="G12" t="s">
        <v>895</v>
      </c>
      <c r="H12">
        <v>4</v>
      </c>
      <c r="I12" s="8">
        <v>1500000</v>
      </c>
      <c r="J12" s="8">
        <v>5</v>
      </c>
      <c r="K12" s="39">
        <v>8.3333333333333329E-2</v>
      </c>
      <c r="L12" s="8">
        <v>12</v>
      </c>
      <c r="M12" s="8">
        <v>30000</v>
      </c>
      <c r="N12" s="8"/>
      <c r="O12" s="8"/>
      <c r="P12" s="8">
        <f t="shared" si="0"/>
        <v>55000</v>
      </c>
      <c r="Q12" s="8">
        <v>2</v>
      </c>
      <c r="R12" s="8"/>
      <c r="S12" s="8"/>
      <c r="T12" s="39">
        <v>8.3333333333333329E-2</v>
      </c>
      <c r="U12" s="8">
        <v>12</v>
      </c>
      <c r="V12" s="8">
        <v>95000</v>
      </c>
      <c r="W12" s="8"/>
      <c r="X12" s="8"/>
      <c r="Y12" s="8">
        <f t="shared" si="28"/>
        <v>95000</v>
      </c>
      <c r="Z12" s="8">
        <v>2</v>
      </c>
      <c r="AA12" s="8">
        <v>800000</v>
      </c>
      <c r="AB12" s="8">
        <v>2</v>
      </c>
      <c r="AC12" s="39">
        <v>8.3333333333333329E-2</v>
      </c>
      <c r="AD12" s="8">
        <v>12</v>
      </c>
      <c r="AE12" s="8">
        <v>30000</v>
      </c>
      <c r="AF12" s="8"/>
      <c r="AG12" s="8"/>
      <c r="AH12" s="8">
        <f t="shared" si="29"/>
        <v>30000</v>
      </c>
      <c r="AI12" s="8">
        <f t="shared" si="1"/>
        <v>55000</v>
      </c>
      <c r="AJ12" s="10" t="str">
        <f t="shared" si="2"/>
        <v>○</v>
      </c>
      <c r="AK12" s="8">
        <f t="shared" si="3"/>
        <v>95000</v>
      </c>
      <c r="AL12" s="10" t="str">
        <f t="shared" si="4"/>
        <v>○</v>
      </c>
      <c r="AM12" s="8">
        <f t="shared" si="5"/>
        <v>30000</v>
      </c>
      <c r="AN12" s="10" t="str">
        <f t="shared" si="6"/>
        <v>○</v>
      </c>
      <c r="AO12" s="8">
        <f t="shared" si="7"/>
        <v>55000</v>
      </c>
      <c r="AP12" s="10" t="str">
        <f t="shared" si="8"/>
        <v>○</v>
      </c>
      <c r="AQ12" s="8">
        <f t="shared" si="9"/>
        <v>95000</v>
      </c>
      <c r="AR12" s="10" t="str">
        <f t="shared" si="10"/>
        <v>○</v>
      </c>
      <c r="AS12" s="8">
        <f t="shared" si="11"/>
        <v>30000</v>
      </c>
      <c r="AT12" s="10" t="str">
        <f t="shared" si="12"/>
        <v>○</v>
      </c>
      <c r="AU12" s="8">
        <f t="shared" si="13"/>
        <v>55000</v>
      </c>
      <c r="AV12" s="10" t="str">
        <f t="shared" si="14"/>
        <v>○</v>
      </c>
      <c r="AW12" s="8">
        <f t="shared" si="15"/>
        <v>95000</v>
      </c>
      <c r="AX12" s="10" t="str">
        <f t="shared" si="16"/>
        <v>○</v>
      </c>
      <c r="AY12" s="8">
        <f t="shared" si="17"/>
        <v>30000</v>
      </c>
      <c r="AZ12" s="10" t="str">
        <f t="shared" si="18"/>
        <v>○</v>
      </c>
      <c r="BA12" s="8">
        <f t="shared" si="19"/>
        <v>55000</v>
      </c>
      <c r="BB12" s="10" t="str">
        <f t="shared" si="20"/>
        <v>○</v>
      </c>
      <c r="BC12" s="8">
        <f t="shared" si="21"/>
        <v>95000</v>
      </c>
      <c r="BD12" s="10" t="str">
        <f t="shared" si="22"/>
        <v>○</v>
      </c>
      <c r="BE12" s="8">
        <f t="shared" si="23"/>
        <v>30000</v>
      </c>
      <c r="BF12" s="10" t="str">
        <f t="shared" si="24"/>
        <v>○</v>
      </c>
      <c r="BG12" s="8">
        <f t="shared" si="25"/>
        <v>55000</v>
      </c>
      <c r="BH12" s="10" t="str">
        <f t="shared" si="26"/>
        <v>○</v>
      </c>
      <c r="BI12" s="8">
        <f t="shared" si="27"/>
        <v>95000</v>
      </c>
      <c r="BJ12" s="1" t="s">
        <v>977</v>
      </c>
      <c r="BK12" s="1" t="s">
        <v>1102</v>
      </c>
      <c r="BL12" s="1" t="s">
        <v>977</v>
      </c>
      <c r="BM12" s="1" t="s">
        <v>977</v>
      </c>
      <c r="BN12" s="1" t="s">
        <v>977</v>
      </c>
      <c r="BO12" s="1" t="s">
        <v>1102</v>
      </c>
      <c r="BP12" s="1" t="s">
        <v>1103</v>
      </c>
      <c r="BQ12" s="1" t="s">
        <v>1103</v>
      </c>
      <c r="BR12" s="1" t="s">
        <v>1103</v>
      </c>
      <c r="BS12" s="1" t="s">
        <v>1103</v>
      </c>
      <c r="BT12" s="1" t="s">
        <v>1103</v>
      </c>
    </row>
    <row r="13" spans="1:74" x14ac:dyDescent="0.3">
      <c r="A13" s="36">
        <v>12</v>
      </c>
      <c r="B13" t="s">
        <v>596</v>
      </c>
      <c r="C13" t="s">
        <v>619</v>
      </c>
      <c r="D13" t="s">
        <v>81</v>
      </c>
      <c r="E13" t="s">
        <v>788</v>
      </c>
      <c r="F13" t="s">
        <v>896</v>
      </c>
      <c r="G13" t="s">
        <v>897</v>
      </c>
      <c r="H13">
        <v>2</v>
      </c>
      <c r="I13" s="8"/>
      <c r="J13" s="8"/>
      <c r="K13" s="39">
        <v>8.3333333333333329E-2</v>
      </c>
      <c r="L13" s="8">
        <v>12</v>
      </c>
      <c r="M13" s="8">
        <v>5000</v>
      </c>
      <c r="N13" s="8"/>
      <c r="O13" s="8"/>
      <c r="P13" s="8">
        <f t="shared" si="0"/>
        <v>5000</v>
      </c>
      <c r="Q13" s="8">
        <v>2</v>
      </c>
      <c r="R13" s="8"/>
      <c r="S13" s="8"/>
      <c r="T13" s="39">
        <v>8.3333333333333329E-2</v>
      </c>
      <c r="U13" s="8">
        <v>12</v>
      </c>
      <c r="V13" s="8">
        <v>30000</v>
      </c>
      <c r="W13" s="8"/>
      <c r="X13" s="8"/>
      <c r="Y13" s="8">
        <f t="shared" si="28"/>
        <v>30000</v>
      </c>
      <c r="Z13" s="8">
        <v>2</v>
      </c>
      <c r="AA13" s="8"/>
      <c r="AB13" s="8"/>
      <c r="AC13" s="39">
        <v>8.3333333333333329E-2</v>
      </c>
      <c r="AD13" s="8">
        <v>12</v>
      </c>
      <c r="AE13" s="8">
        <v>10000</v>
      </c>
      <c r="AF13" s="8"/>
      <c r="AG13" s="8"/>
      <c r="AH13" s="8">
        <f t="shared" si="29"/>
        <v>10000</v>
      </c>
      <c r="AI13" s="8">
        <f t="shared" si="1"/>
        <v>5000</v>
      </c>
      <c r="AJ13" s="10" t="str">
        <f t="shared" si="2"/>
        <v>○</v>
      </c>
      <c r="AK13" s="8">
        <f t="shared" si="3"/>
        <v>30000</v>
      </c>
      <c r="AL13" s="10" t="str">
        <f t="shared" si="4"/>
        <v>○</v>
      </c>
      <c r="AM13" s="8">
        <f t="shared" si="5"/>
        <v>10000</v>
      </c>
      <c r="AN13" s="10" t="str">
        <f t="shared" si="6"/>
        <v>○</v>
      </c>
      <c r="AO13" s="8">
        <f t="shared" si="7"/>
        <v>5000</v>
      </c>
      <c r="AP13" s="10" t="str">
        <f t="shared" si="8"/>
        <v>○</v>
      </c>
      <c r="AQ13" s="8">
        <f t="shared" si="9"/>
        <v>30000</v>
      </c>
      <c r="AR13" s="10" t="str">
        <f t="shared" si="10"/>
        <v>○</v>
      </c>
      <c r="AS13" s="8">
        <f t="shared" si="11"/>
        <v>10000</v>
      </c>
      <c r="AT13" s="10" t="str">
        <f t="shared" si="12"/>
        <v>○</v>
      </c>
      <c r="AU13" s="8">
        <f t="shared" si="13"/>
        <v>5000</v>
      </c>
      <c r="AV13" s="10" t="str">
        <f t="shared" si="14"/>
        <v>○</v>
      </c>
      <c r="AW13" s="8">
        <f t="shared" si="15"/>
        <v>30000</v>
      </c>
      <c r="AX13" s="10" t="str">
        <f t="shared" si="16"/>
        <v>○</v>
      </c>
      <c r="AY13" s="8">
        <f t="shared" si="17"/>
        <v>10000</v>
      </c>
      <c r="AZ13" s="10" t="str">
        <f t="shared" si="18"/>
        <v>○</v>
      </c>
      <c r="BA13" s="8">
        <f t="shared" si="19"/>
        <v>5000</v>
      </c>
      <c r="BB13" s="10" t="str">
        <f t="shared" si="20"/>
        <v>○</v>
      </c>
      <c r="BC13" s="8">
        <f t="shared" si="21"/>
        <v>30000</v>
      </c>
      <c r="BD13" s="10" t="str">
        <f t="shared" si="22"/>
        <v>○</v>
      </c>
      <c r="BE13" s="8">
        <f t="shared" si="23"/>
        <v>10000</v>
      </c>
      <c r="BF13" s="10" t="str">
        <f t="shared" si="24"/>
        <v>○</v>
      </c>
      <c r="BG13" s="8">
        <f t="shared" si="25"/>
        <v>5000</v>
      </c>
      <c r="BH13" s="10" t="str">
        <f t="shared" si="26"/>
        <v>○</v>
      </c>
      <c r="BI13" s="8">
        <f t="shared" si="27"/>
        <v>30000</v>
      </c>
      <c r="BJ13" s="1" t="s">
        <v>977</v>
      </c>
      <c r="BK13" s="1" t="s">
        <v>1102</v>
      </c>
      <c r="BL13" s="1" t="s">
        <v>977</v>
      </c>
      <c r="BM13" s="1" t="s">
        <v>977</v>
      </c>
      <c r="BN13" s="1" t="s">
        <v>1102</v>
      </c>
      <c r="BO13" s="1" t="s">
        <v>1102</v>
      </c>
      <c r="BP13" s="1" t="s">
        <v>1103</v>
      </c>
      <c r="BQ13" s="1" t="s">
        <v>1103</v>
      </c>
      <c r="BR13" s="1" t="s">
        <v>1103</v>
      </c>
      <c r="BS13" s="1" t="s">
        <v>1103</v>
      </c>
      <c r="BT13" s="1" t="s">
        <v>1103</v>
      </c>
    </row>
    <row r="14" spans="1:74" x14ac:dyDescent="0.3">
      <c r="A14">
        <v>13</v>
      </c>
      <c r="B14" t="s">
        <v>596</v>
      </c>
      <c r="C14" t="s">
        <v>737</v>
      </c>
      <c r="D14" t="s">
        <v>63</v>
      </c>
      <c r="E14" t="s">
        <v>738</v>
      </c>
      <c r="F14" t="s">
        <v>898</v>
      </c>
      <c r="G14" t="s">
        <v>899</v>
      </c>
      <c r="H14">
        <v>1</v>
      </c>
      <c r="I14" s="8">
        <v>100000</v>
      </c>
      <c r="J14" s="8">
        <v>5</v>
      </c>
      <c r="K14" s="39"/>
      <c r="L14" s="8"/>
      <c r="M14" s="8"/>
      <c r="N14" s="8"/>
      <c r="O14" s="8"/>
      <c r="P14" s="8">
        <f t="shared" si="0"/>
        <v>1666.6666666666667</v>
      </c>
      <c r="Q14" s="8">
        <v>1</v>
      </c>
      <c r="R14" s="8">
        <v>1000000</v>
      </c>
      <c r="S14" s="8">
        <v>5</v>
      </c>
      <c r="T14" s="39"/>
      <c r="U14" s="8"/>
      <c r="V14" s="8"/>
      <c r="W14" s="8"/>
      <c r="X14" s="8"/>
      <c r="Y14" s="8">
        <f t="shared" si="28"/>
        <v>16666.666666666668</v>
      </c>
      <c r="Z14" s="8">
        <v>1</v>
      </c>
      <c r="AA14" s="8">
        <v>30000</v>
      </c>
      <c r="AB14" s="8">
        <v>0.5</v>
      </c>
      <c r="AC14" s="39"/>
      <c r="AD14" s="8"/>
      <c r="AE14" s="8"/>
      <c r="AF14" s="8"/>
      <c r="AG14" s="8"/>
      <c r="AH14" s="8">
        <f t="shared" si="29"/>
        <v>5000</v>
      </c>
      <c r="AI14" s="8">
        <f t="shared" si="1"/>
        <v>1666.6666666666667</v>
      </c>
      <c r="AJ14" s="10" t="str">
        <f t="shared" si="2"/>
        <v>○</v>
      </c>
      <c r="AK14" s="8">
        <f t="shared" si="3"/>
        <v>16666.666666666668</v>
      </c>
      <c r="AL14" s="10" t="str">
        <f t="shared" si="4"/>
        <v>○</v>
      </c>
      <c r="AM14" s="8">
        <f t="shared" si="5"/>
        <v>5000</v>
      </c>
      <c r="AN14" s="10" t="str">
        <f t="shared" si="6"/>
        <v>○</v>
      </c>
      <c r="AO14" s="8">
        <f t="shared" si="7"/>
        <v>1666.6666666666667</v>
      </c>
      <c r="AP14" s="10" t="str">
        <f t="shared" si="8"/>
        <v>○</v>
      </c>
      <c r="AQ14" s="8">
        <f t="shared" si="9"/>
        <v>16666.666666666668</v>
      </c>
      <c r="AR14" s="10" t="str">
        <f t="shared" si="10"/>
        <v>○</v>
      </c>
      <c r="AS14" s="8">
        <f t="shared" si="11"/>
        <v>5000</v>
      </c>
      <c r="AT14" s="10" t="str">
        <f t="shared" si="12"/>
        <v>○</v>
      </c>
      <c r="AU14" s="8">
        <f t="shared" si="13"/>
        <v>1666.6666666666667</v>
      </c>
      <c r="AV14" s="10" t="str">
        <f t="shared" si="14"/>
        <v>○</v>
      </c>
      <c r="AW14" s="8">
        <f t="shared" si="15"/>
        <v>16666.666666666668</v>
      </c>
      <c r="AX14" s="10" t="str">
        <f t="shared" si="16"/>
        <v>○</v>
      </c>
      <c r="AY14" s="8">
        <f t="shared" si="17"/>
        <v>5000</v>
      </c>
      <c r="AZ14" s="10" t="str">
        <f t="shared" si="18"/>
        <v>○</v>
      </c>
      <c r="BA14" s="8">
        <f t="shared" si="19"/>
        <v>1666.6666666666667</v>
      </c>
      <c r="BB14" s="10" t="str">
        <f t="shared" si="20"/>
        <v>○</v>
      </c>
      <c r="BC14" s="8">
        <f t="shared" si="21"/>
        <v>16666.666666666668</v>
      </c>
      <c r="BD14" s="10" t="str">
        <f t="shared" si="22"/>
        <v>○</v>
      </c>
      <c r="BE14" s="8">
        <f t="shared" si="23"/>
        <v>5000</v>
      </c>
      <c r="BF14" s="10" t="str">
        <f t="shared" si="24"/>
        <v>○</v>
      </c>
      <c r="BG14" s="8">
        <f t="shared" si="25"/>
        <v>1666.6666666666667</v>
      </c>
      <c r="BH14" s="10" t="str">
        <f t="shared" si="26"/>
        <v>○</v>
      </c>
      <c r="BI14" s="8">
        <f t="shared" si="27"/>
        <v>16666.666666666668</v>
      </c>
      <c r="BJ14" s="1" t="s">
        <v>977</v>
      </c>
      <c r="BK14" s="1" t="s">
        <v>1102</v>
      </c>
      <c r="BL14" s="1" t="s">
        <v>977</v>
      </c>
      <c r="BM14" s="1" t="s">
        <v>977</v>
      </c>
      <c r="BN14" s="1" t="s">
        <v>977</v>
      </c>
      <c r="BO14" s="1" t="s">
        <v>1102</v>
      </c>
      <c r="BP14" s="1" t="s">
        <v>1103</v>
      </c>
      <c r="BQ14" s="1" t="s">
        <v>1103</v>
      </c>
      <c r="BR14" s="1" t="s">
        <v>1103</v>
      </c>
      <c r="BS14" s="1" t="s">
        <v>1103</v>
      </c>
      <c r="BT14" s="1" t="s">
        <v>1103</v>
      </c>
    </row>
    <row r="15" spans="1:74" x14ac:dyDescent="0.3">
      <c r="A15">
        <v>14</v>
      </c>
      <c r="B15" t="s">
        <v>596</v>
      </c>
      <c r="C15" t="s">
        <v>620</v>
      </c>
      <c r="D15" t="s">
        <v>63</v>
      </c>
      <c r="E15" t="s">
        <v>789</v>
      </c>
      <c r="F15" t="s">
        <v>900</v>
      </c>
      <c r="G15" t="s">
        <v>901</v>
      </c>
      <c r="H15">
        <v>1</v>
      </c>
      <c r="I15" s="8">
        <v>100000</v>
      </c>
      <c r="J15" s="8">
        <v>5</v>
      </c>
      <c r="K15" s="39"/>
      <c r="L15" s="8"/>
      <c r="M15" s="8"/>
      <c r="N15" s="8"/>
      <c r="O15" s="8"/>
      <c r="P15" s="8">
        <f t="shared" si="0"/>
        <v>1666.6666666666667</v>
      </c>
      <c r="Q15" s="8">
        <v>5</v>
      </c>
      <c r="R15" s="8">
        <v>1200000</v>
      </c>
      <c r="S15" s="8">
        <v>5</v>
      </c>
      <c r="T15" s="39"/>
      <c r="U15" s="8"/>
      <c r="V15" s="8"/>
      <c r="W15" s="8">
        <v>30000</v>
      </c>
      <c r="X15" s="8">
        <v>1</v>
      </c>
      <c r="Y15" s="8">
        <f t="shared" si="28"/>
        <v>22500</v>
      </c>
      <c r="Z15" s="8">
        <v>1</v>
      </c>
      <c r="AA15" s="8">
        <v>40000</v>
      </c>
      <c r="AB15" s="8">
        <v>0.5</v>
      </c>
      <c r="AC15" s="39"/>
      <c r="AD15" s="8"/>
      <c r="AE15" s="8"/>
      <c r="AF15" s="8"/>
      <c r="AG15" s="8">
        <v>1</v>
      </c>
      <c r="AH15" s="8">
        <f t="shared" si="29"/>
        <v>6666.666666666667</v>
      </c>
      <c r="AI15" s="8">
        <f t="shared" si="1"/>
        <v>1666.6666666666667</v>
      </c>
      <c r="AJ15" s="10" t="str">
        <f t="shared" si="2"/>
        <v>○</v>
      </c>
      <c r="AK15" s="8">
        <f t="shared" si="3"/>
        <v>22500</v>
      </c>
      <c r="AL15" s="10" t="str">
        <f t="shared" si="4"/>
        <v>○</v>
      </c>
      <c r="AM15" s="8">
        <f t="shared" si="5"/>
        <v>6666.666666666667</v>
      </c>
      <c r="AN15" s="10" t="str">
        <f t="shared" si="6"/>
        <v>○</v>
      </c>
      <c r="AO15" s="8">
        <f t="shared" si="7"/>
        <v>1666.6666666666667</v>
      </c>
      <c r="AP15" s="10" t="str">
        <f t="shared" si="8"/>
        <v>○</v>
      </c>
      <c r="AQ15" s="8">
        <f t="shared" si="9"/>
        <v>22500</v>
      </c>
      <c r="AR15" s="10" t="str">
        <f t="shared" si="10"/>
        <v>○</v>
      </c>
      <c r="AS15" s="8">
        <f t="shared" si="11"/>
        <v>6666.666666666667</v>
      </c>
      <c r="AT15" s="10" t="str">
        <f t="shared" si="12"/>
        <v>○</v>
      </c>
      <c r="AU15" s="8">
        <f t="shared" si="13"/>
        <v>1666.6666666666667</v>
      </c>
      <c r="AV15" s="10" t="str">
        <f t="shared" si="14"/>
        <v>○</v>
      </c>
      <c r="AW15" s="8">
        <f t="shared" si="15"/>
        <v>22500</v>
      </c>
      <c r="AX15" s="10" t="str">
        <f t="shared" si="16"/>
        <v>○</v>
      </c>
      <c r="AY15" s="8">
        <f t="shared" si="17"/>
        <v>6666.666666666667</v>
      </c>
      <c r="AZ15" s="10" t="str">
        <f t="shared" si="18"/>
        <v>○</v>
      </c>
      <c r="BA15" s="8">
        <f t="shared" si="19"/>
        <v>1666.6666666666667</v>
      </c>
      <c r="BB15" s="10" t="str">
        <f t="shared" si="20"/>
        <v>○</v>
      </c>
      <c r="BC15" s="8">
        <f t="shared" si="21"/>
        <v>22500</v>
      </c>
      <c r="BD15" s="10" t="str">
        <f t="shared" si="22"/>
        <v>○</v>
      </c>
      <c r="BE15" s="8">
        <f t="shared" si="23"/>
        <v>6666.666666666667</v>
      </c>
      <c r="BF15" s="10" t="str">
        <f t="shared" si="24"/>
        <v>○</v>
      </c>
      <c r="BG15" s="8">
        <f t="shared" si="25"/>
        <v>1666.6666666666667</v>
      </c>
      <c r="BH15" s="10" t="str">
        <f t="shared" si="26"/>
        <v>○</v>
      </c>
      <c r="BI15" s="8">
        <f t="shared" si="27"/>
        <v>22500</v>
      </c>
      <c r="BJ15" s="1" t="s">
        <v>977</v>
      </c>
      <c r="BK15" s="1" t="s">
        <v>1102</v>
      </c>
      <c r="BL15" s="1" t="s">
        <v>977</v>
      </c>
      <c r="BM15" s="1" t="s">
        <v>977</v>
      </c>
      <c r="BN15" s="1" t="s">
        <v>977</v>
      </c>
      <c r="BO15" s="1" t="s">
        <v>1102</v>
      </c>
      <c r="BP15" s="1" t="s">
        <v>1103</v>
      </c>
      <c r="BQ15" s="1" t="s">
        <v>1103</v>
      </c>
      <c r="BR15" s="1" t="s">
        <v>1103</v>
      </c>
      <c r="BS15" s="1" t="s">
        <v>1103</v>
      </c>
      <c r="BT15" s="1" t="s">
        <v>1103</v>
      </c>
    </row>
    <row r="16" spans="1:74" x14ac:dyDescent="0.3">
      <c r="A16">
        <v>15</v>
      </c>
      <c r="B16" t="s">
        <v>621</v>
      </c>
      <c r="C16" t="s">
        <v>623</v>
      </c>
      <c r="D16" t="s">
        <v>63</v>
      </c>
      <c r="E16" t="s">
        <v>790</v>
      </c>
      <c r="F16" t="s">
        <v>902</v>
      </c>
      <c r="G16" t="s">
        <v>903</v>
      </c>
      <c r="H16">
        <v>1</v>
      </c>
      <c r="I16" s="8">
        <v>450000</v>
      </c>
      <c r="J16" s="8">
        <v>1</v>
      </c>
      <c r="K16" s="39"/>
      <c r="L16" s="8"/>
      <c r="M16" s="8"/>
      <c r="N16" s="8"/>
      <c r="O16" s="8"/>
      <c r="P16" s="8">
        <f t="shared" si="0"/>
        <v>37500</v>
      </c>
      <c r="Q16" s="8">
        <v>1</v>
      </c>
      <c r="R16" s="8">
        <v>800000</v>
      </c>
      <c r="S16" s="8">
        <v>1</v>
      </c>
      <c r="T16" s="39"/>
      <c r="U16" s="8"/>
      <c r="V16" s="8"/>
      <c r="W16" s="8"/>
      <c r="X16" s="8"/>
      <c r="Y16" s="8">
        <f t="shared" si="28"/>
        <v>66666.666666666672</v>
      </c>
      <c r="Z16" s="8">
        <v>1</v>
      </c>
      <c r="AA16" s="8">
        <v>800000</v>
      </c>
      <c r="AB16" s="8">
        <v>1</v>
      </c>
      <c r="AC16" s="39"/>
      <c r="AD16" s="8"/>
      <c r="AE16" s="8"/>
      <c r="AF16" s="8"/>
      <c r="AG16" s="8"/>
      <c r="AH16" s="8">
        <f t="shared" si="29"/>
        <v>66666.666666666672</v>
      </c>
      <c r="AI16" s="8">
        <f t="shared" si="1"/>
        <v>37500</v>
      </c>
      <c r="AJ16" s="10" t="str">
        <f t="shared" si="2"/>
        <v>○</v>
      </c>
      <c r="AK16" s="8">
        <f t="shared" si="3"/>
        <v>66666.666666666672</v>
      </c>
      <c r="AL16" s="10" t="str">
        <f t="shared" si="4"/>
        <v>○</v>
      </c>
      <c r="AM16" s="8">
        <f t="shared" si="5"/>
        <v>66666.666666666672</v>
      </c>
      <c r="AN16" s="10" t="str">
        <f t="shared" si="6"/>
        <v>○</v>
      </c>
      <c r="AO16" s="8">
        <f t="shared" si="7"/>
        <v>37500</v>
      </c>
      <c r="AP16" s="10" t="str">
        <f t="shared" si="8"/>
        <v>○</v>
      </c>
      <c r="AQ16" s="8">
        <f t="shared" si="9"/>
        <v>66666.666666666672</v>
      </c>
      <c r="AR16" s="10" t="str">
        <f t="shared" si="10"/>
        <v>○</v>
      </c>
      <c r="AS16" s="8">
        <f t="shared" si="11"/>
        <v>66666.666666666672</v>
      </c>
      <c r="AT16" s="10" t="str">
        <f t="shared" si="12"/>
        <v>○</v>
      </c>
      <c r="AU16" s="8">
        <f t="shared" si="13"/>
        <v>37500</v>
      </c>
      <c r="AV16" s="10" t="str">
        <f t="shared" si="14"/>
        <v>○</v>
      </c>
      <c r="AW16" s="8">
        <f t="shared" si="15"/>
        <v>66666.666666666672</v>
      </c>
      <c r="AX16" s="10" t="str">
        <f t="shared" si="16"/>
        <v>○</v>
      </c>
      <c r="AY16" s="8">
        <f t="shared" si="17"/>
        <v>66666.666666666672</v>
      </c>
      <c r="AZ16" s="10" t="str">
        <f t="shared" si="18"/>
        <v>○</v>
      </c>
      <c r="BA16" s="8">
        <f t="shared" si="19"/>
        <v>37500</v>
      </c>
      <c r="BB16" s="10" t="str">
        <f t="shared" si="20"/>
        <v>○</v>
      </c>
      <c r="BC16" s="8">
        <f t="shared" si="21"/>
        <v>66666.666666666672</v>
      </c>
      <c r="BD16" s="10" t="str">
        <f t="shared" si="22"/>
        <v>○</v>
      </c>
      <c r="BE16" s="8">
        <f t="shared" si="23"/>
        <v>66666.666666666672</v>
      </c>
      <c r="BF16" s="10" t="str">
        <f t="shared" si="24"/>
        <v>○</v>
      </c>
      <c r="BG16" s="8" t="str">
        <f t="shared" si="25"/>
        <v/>
      </c>
      <c r="BH16" s="10" t="str">
        <f t="shared" si="26"/>
        <v>△</v>
      </c>
      <c r="BI16" s="8" t="str">
        <f t="shared" si="27"/>
        <v/>
      </c>
      <c r="BJ16" s="1" t="s">
        <v>977</v>
      </c>
      <c r="BK16" s="1" t="s">
        <v>1102</v>
      </c>
      <c r="BL16" s="1" t="s">
        <v>977</v>
      </c>
      <c r="BM16" s="1" t="s">
        <v>977</v>
      </c>
      <c r="BN16" s="1" t="s">
        <v>1102</v>
      </c>
      <c r="BO16" s="1" t="s">
        <v>1102</v>
      </c>
      <c r="BP16" s="1" t="s">
        <v>1103</v>
      </c>
      <c r="BQ16" s="1" t="s">
        <v>1103</v>
      </c>
      <c r="BR16" s="1" t="s">
        <v>1103</v>
      </c>
      <c r="BS16" s="1" t="s">
        <v>1103</v>
      </c>
      <c r="BT16" s="1" t="s">
        <v>622</v>
      </c>
    </row>
    <row r="17" spans="1:72" x14ac:dyDescent="0.3">
      <c r="A17">
        <v>16</v>
      </c>
      <c r="B17" t="s">
        <v>621</v>
      </c>
      <c r="C17" t="s">
        <v>978</v>
      </c>
      <c r="D17" t="s">
        <v>20</v>
      </c>
      <c r="E17" t="s">
        <v>979</v>
      </c>
      <c r="F17" t="s">
        <v>980</v>
      </c>
      <c r="G17" t="s">
        <v>981</v>
      </c>
      <c r="H17">
        <v>2</v>
      </c>
      <c r="I17" s="8"/>
      <c r="J17" s="8"/>
      <c r="K17" s="39">
        <v>8.3333333333333329E-2</v>
      </c>
      <c r="L17" s="8">
        <v>6</v>
      </c>
      <c r="M17" s="8">
        <v>10000</v>
      </c>
      <c r="N17" s="8"/>
      <c r="O17" s="8"/>
      <c r="P17" s="8">
        <f t="shared" si="0"/>
        <v>5000</v>
      </c>
      <c r="Q17" s="8">
        <v>2</v>
      </c>
      <c r="R17" s="8"/>
      <c r="S17" s="8"/>
      <c r="T17" s="39">
        <v>8.3333333333333329E-2</v>
      </c>
      <c r="U17" s="8">
        <v>12</v>
      </c>
      <c r="V17" s="8">
        <v>100000</v>
      </c>
      <c r="W17" s="8"/>
      <c r="X17" s="8"/>
      <c r="Y17" s="8">
        <f t="shared" si="28"/>
        <v>100000</v>
      </c>
      <c r="Z17" s="8">
        <v>6</v>
      </c>
      <c r="AA17" s="8"/>
      <c r="AB17" s="8"/>
      <c r="AC17" s="39">
        <v>8.3333333333333329E-2</v>
      </c>
      <c r="AD17" s="8">
        <v>24</v>
      </c>
      <c r="AE17" s="8">
        <v>10000</v>
      </c>
      <c r="AF17" s="8">
        <v>20000</v>
      </c>
      <c r="AG17" s="8">
        <v>8</v>
      </c>
      <c r="AH17" s="8">
        <f t="shared" si="29"/>
        <v>20208.333333333332</v>
      </c>
      <c r="AI17" s="8">
        <f t="shared" si="1"/>
        <v>5000</v>
      </c>
      <c r="AJ17" s="10" t="str">
        <f t="shared" si="2"/>
        <v>○</v>
      </c>
      <c r="AK17" s="8">
        <f t="shared" si="3"/>
        <v>100000</v>
      </c>
      <c r="AL17" s="10" t="str">
        <f t="shared" si="4"/>
        <v>○</v>
      </c>
      <c r="AM17" s="8">
        <f t="shared" si="5"/>
        <v>20208.333333333332</v>
      </c>
      <c r="AN17" s="10" t="str">
        <f t="shared" si="6"/>
        <v>○</v>
      </c>
      <c r="AO17" s="8">
        <f t="shared" si="7"/>
        <v>5000</v>
      </c>
      <c r="AP17" s="10" t="str">
        <f t="shared" si="8"/>
        <v>○</v>
      </c>
      <c r="AQ17" s="8">
        <f t="shared" si="9"/>
        <v>100000</v>
      </c>
      <c r="AR17" s="10" t="str">
        <f t="shared" si="10"/>
        <v>○</v>
      </c>
      <c r="AS17" s="8">
        <f t="shared" si="11"/>
        <v>20208.333333333332</v>
      </c>
      <c r="AT17" s="10" t="str">
        <f t="shared" si="12"/>
        <v>○</v>
      </c>
      <c r="AU17" s="8">
        <f t="shared" si="13"/>
        <v>5000</v>
      </c>
      <c r="AV17" s="10" t="str">
        <f t="shared" si="14"/>
        <v>○</v>
      </c>
      <c r="AW17" s="8">
        <f t="shared" si="15"/>
        <v>100000</v>
      </c>
      <c r="AX17" s="10" t="str">
        <f t="shared" si="16"/>
        <v>○</v>
      </c>
      <c r="AY17" s="8">
        <f t="shared" si="17"/>
        <v>20208.333333333332</v>
      </c>
      <c r="AZ17" s="10" t="str">
        <f t="shared" si="18"/>
        <v>○</v>
      </c>
      <c r="BA17" s="8">
        <f t="shared" si="19"/>
        <v>5000</v>
      </c>
      <c r="BB17" s="10" t="str">
        <f t="shared" si="20"/>
        <v>○</v>
      </c>
      <c r="BC17" s="8">
        <f t="shared" si="21"/>
        <v>100000</v>
      </c>
      <c r="BD17" s="10" t="str">
        <f t="shared" si="22"/>
        <v>○</v>
      </c>
      <c r="BE17" s="8">
        <f t="shared" si="23"/>
        <v>20208.333333333332</v>
      </c>
      <c r="BF17" s="10" t="str">
        <f t="shared" si="24"/>
        <v>○</v>
      </c>
      <c r="BG17" s="8">
        <f t="shared" si="25"/>
        <v>5000</v>
      </c>
      <c r="BH17" s="10" t="str">
        <f t="shared" si="26"/>
        <v>○</v>
      </c>
      <c r="BI17" s="8">
        <f t="shared" si="27"/>
        <v>100000</v>
      </c>
      <c r="BJ17" s="1" t="s">
        <v>977</v>
      </c>
      <c r="BK17" s="1" t="s">
        <v>1102</v>
      </c>
      <c r="BL17" s="1" t="s">
        <v>977</v>
      </c>
      <c r="BM17" s="1" t="s">
        <v>1044</v>
      </c>
      <c r="BN17" s="1" t="s">
        <v>977</v>
      </c>
      <c r="BO17" s="1" t="s">
        <v>977</v>
      </c>
      <c r="BP17" s="1" t="s">
        <v>1103</v>
      </c>
      <c r="BQ17" s="1" t="s">
        <v>1103</v>
      </c>
      <c r="BR17" s="1" t="s">
        <v>1103</v>
      </c>
      <c r="BS17" s="1" t="s">
        <v>1103</v>
      </c>
      <c r="BT17" s="1" t="s">
        <v>1103</v>
      </c>
    </row>
    <row r="18" spans="1:72" x14ac:dyDescent="0.3">
      <c r="A18">
        <v>17</v>
      </c>
      <c r="B18" t="s">
        <v>621</v>
      </c>
      <c r="C18" t="s">
        <v>700</v>
      </c>
      <c r="D18" t="s">
        <v>63</v>
      </c>
      <c r="E18" t="s">
        <v>701</v>
      </c>
      <c r="F18" t="s">
        <v>961</v>
      </c>
      <c r="G18" t="s">
        <v>509</v>
      </c>
      <c r="H18">
        <v>5</v>
      </c>
      <c r="I18" s="8">
        <v>200000</v>
      </c>
      <c r="J18" s="8">
        <v>2</v>
      </c>
      <c r="K18" s="39"/>
      <c r="L18" s="8"/>
      <c r="M18" s="8"/>
      <c r="N18" s="8">
        <v>20000</v>
      </c>
      <c r="O18" s="8">
        <v>1</v>
      </c>
      <c r="P18" s="8">
        <f>IF($H18=1,IF(AND(I18&lt;&gt;"",J18&lt;&gt;""),I18/J18/12,""),IF($H18=2,IF(AND(K18&lt;&gt;"",L18&lt;&gt;"",M18&lt;&gt;""),K18*L18*M18,""),IF($H18=3,IF(AND(N18&lt;&gt;"",O18&lt;&gt;""),N18/O18/12,""),IF($H18=4,IF(AND(I18&lt;&gt;"",J18&lt;&gt;""),I18/J18/12,0)+IF(AND(K18&lt;&gt;"",L18&lt;&gt;"",M18&lt;&gt;""),K18*L18*M18,0),IF($H18=5,IF(AND(I18&lt;&gt;"",J18&lt;&gt;""),I18/J18/12,0)+IF(AND(N18&lt;&gt;"",O18&lt;&gt;""),N18/O18/12,0),IF($H18=6,IF(AND(K18&lt;&gt;"",L18&lt;&gt;"",M18&lt;&gt;""),K18*L18*M18,0)+IF(AND(N18&lt;&gt;"",O18&lt;&gt;""),N18/O18/12,0),""))))))</f>
        <v>10000</v>
      </c>
      <c r="Q18" s="8">
        <v>1</v>
      </c>
      <c r="R18" s="8">
        <v>200000</v>
      </c>
      <c r="S18" s="8">
        <v>1</v>
      </c>
      <c r="T18" s="39"/>
      <c r="U18" s="8"/>
      <c r="V18" s="8"/>
      <c r="W18" s="8"/>
      <c r="X18" s="8"/>
      <c r="Y18" s="8">
        <f>IF($Q18=1,IF(AND(R18&lt;&gt;"",S18&lt;&gt;""),R18/S18/12,""),IF($Q18=2,IF(AND(T18&lt;&gt;"",U18&lt;&gt;"",V18&lt;&gt;""),T18*U18*V18,""),IF($Q18=3,IF(AND(W18&lt;&gt;"",X18&lt;&gt;""),W18/X18/12,""),IF($Q18=4,IF(AND(R18&lt;&gt;"",S18&lt;&gt;""),R18/S18/12,0)+IF(AND(T18&lt;&gt;"",U18&lt;&gt;"",V18&lt;&gt;""),T18*U18*V18,0),IF($Q18=5,IF(AND(R18&lt;&gt;"",S18&lt;&gt;""),R18/S18/12,0)+IF(AND(W18&lt;&gt;"",X18&lt;&gt;""),W18/X18/12,0),IF($Q18=6,IF(AND(T18&lt;&gt;"",U18&lt;&gt;"",V18&lt;&gt;""),T18*U18*V18,0)+IF(AND(W18&lt;&gt;"",X18&lt;&gt;""),W18/X18/12,0),""))))))</f>
        <v>16666.666666666668</v>
      </c>
      <c r="Z18" s="8">
        <v>1</v>
      </c>
      <c r="AA18" s="8">
        <v>180000</v>
      </c>
      <c r="AB18" s="8">
        <v>1</v>
      </c>
      <c r="AC18" s="39"/>
      <c r="AD18" s="8"/>
      <c r="AE18" s="8"/>
      <c r="AF18" s="8"/>
      <c r="AG18" s="8"/>
      <c r="AH18" s="8">
        <f>IF($Z18=1,IF(AND(AA18&lt;&gt;"",AB18&lt;&gt;""),AA18/AB18/12,""),IF($Z18=2,IF(AND(AC18&lt;&gt;"",AD18&lt;&gt;"",AE18&lt;&gt;""),AC18*AD18*AE18,""),IF($Z18=3,IF(AND(AF18&lt;&gt;"",AG18&lt;&gt;""),AF18/AG18/12,""),IF($Z18=4,IF(AND(AA18&lt;&gt;"",AB18&lt;&gt;""),AA18/AB18/12,0)+IF(AND(AC18&lt;&gt;"",AD18&lt;&gt;"",AE18&lt;&gt;""),AC18*AD18*AE18,0),IF($Z18=5,IF(AND(AA18&lt;&gt;"",AB18&lt;&gt;""),AA18/AB18/12,0)+IF(AND(AF18&lt;&gt;"",AG18&lt;&gt;""),AF18/AG18/12,0),IF($Z18=6,IF(AND(AC18&lt;&gt;"",AD18&lt;&gt;"",AE18&lt;&gt;""),AC18*AD18*AE18,0)+IF(AND(AF18&lt;&gt;"",AG18&lt;&gt;""),AF18/AG18/12,0),""))))))</f>
        <v>15000</v>
      </c>
      <c r="AI18" s="8">
        <f t="shared" si="1"/>
        <v>10000</v>
      </c>
      <c r="AJ18" s="10" t="str">
        <f t="shared" si="2"/>
        <v>○</v>
      </c>
      <c r="AK18" s="8">
        <f t="shared" si="3"/>
        <v>16666.666666666668</v>
      </c>
      <c r="AL18" s="10" t="str">
        <f t="shared" si="4"/>
        <v>○</v>
      </c>
      <c r="AM18" s="8">
        <f t="shared" si="5"/>
        <v>15000</v>
      </c>
      <c r="AN18" s="10" t="str">
        <f t="shared" si="6"/>
        <v>○</v>
      </c>
      <c r="AO18" s="8">
        <f t="shared" si="7"/>
        <v>10000</v>
      </c>
      <c r="AP18" s="10" t="str">
        <f t="shared" si="8"/>
        <v>○</v>
      </c>
      <c r="AQ18" s="8">
        <f t="shared" si="9"/>
        <v>16666.666666666668</v>
      </c>
      <c r="AR18" s="10" t="str">
        <f t="shared" si="10"/>
        <v>○</v>
      </c>
      <c r="AS18" s="8">
        <f t="shared" si="11"/>
        <v>15000</v>
      </c>
      <c r="AT18" s="10" t="str">
        <f t="shared" si="12"/>
        <v>○</v>
      </c>
      <c r="AU18" s="8">
        <f t="shared" si="13"/>
        <v>10000</v>
      </c>
      <c r="AV18" s="10" t="str">
        <f t="shared" si="14"/>
        <v>○</v>
      </c>
      <c r="AW18" s="8">
        <f t="shared" si="15"/>
        <v>16666.666666666668</v>
      </c>
      <c r="AX18" s="10" t="str">
        <f t="shared" si="16"/>
        <v>○</v>
      </c>
      <c r="AY18" s="8">
        <f t="shared" si="17"/>
        <v>15000</v>
      </c>
      <c r="AZ18" s="10" t="str">
        <f t="shared" si="18"/>
        <v>○</v>
      </c>
      <c r="BA18" s="8">
        <f t="shared" si="19"/>
        <v>10000</v>
      </c>
      <c r="BB18" s="10" t="str">
        <f t="shared" si="20"/>
        <v>○</v>
      </c>
      <c r="BC18" s="8">
        <f t="shared" si="21"/>
        <v>16666.666666666668</v>
      </c>
      <c r="BD18" s="10" t="str">
        <f t="shared" si="22"/>
        <v>○</v>
      </c>
      <c r="BE18" s="8">
        <f t="shared" si="23"/>
        <v>15000</v>
      </c>
      <c r="BF18" s="10" t="str">
        <f t="shared" si="24"/>
        <v>○</v>
      </c>
      <c r="BG18" s="8" t="str">
        <f t="shared" si="25"/>
        <v/>
      </c>
      <c r="BH18" s="10" t="str">
        <f t="shared" si="26"/>
        <v>△</v>
      </c>
      <c r="BI18" s="8" t="str">
        <f t="shared" si="27"/>
        <v/>
      </c>
      <c r="BJ18" s="1" t="s">
        <v>977</v>
      </c>
      <c r="BK18" s="1" t="s">
        <v>1102</v>
      </c>
      <c r="BL18" s="1" t="s">
        <v>977</v>
      </c>
      <c r="BM18" s="1" t="s">
        <v>977</v>
      </c>
      <c r="BN18" s="1" t="s">
        <v>1102</v>
      </c>
      <c r="BO18" s="1" t="s">
        <v>1102</v>
      </c>
      <c r="BP18" s="1" t="s">
        <v>1103</v>
      </c>
      <c r="BQ18" s="1" t="s">
        <v>1103</v>
      </c>
      <c r="BR18" s="1" t="s">
        <v>1103</v>
      </c>
      <c r="BS18" s="1" t="s">
        <v>1103</v>
      </c>
      <c r="BT18" s="1" t="s">
        <v>622</v>
      </c>
    </row>
    <row r="19" spans="1:72" x14ac:dyDescent="0.3">
      <c r="A19">
        <v>18</v>
      </c>
      <c r="B19" t="s">
        <v>621</v>
      </c>
      <c r="C19" t="s">
        <v>1063</v>
      </c>
      <c r="D19" t="s">
        <v>81</v>
      </c>
      <c r="E19" t="s">
        <v>694</v>
      </c>
      <c r="F19" t="s">
        <v>517</v>
      </c>
      <c r="G19" t="s">
        <v>1062</v>
      </c>
      <c r="H19">
        <v>3</v>
      </c>
      <c r="I19" s="8"/>
      <c r="J19" s="8"/>
      <c r="K19" s="39"/>
      <c r="L19" s="8"/>
      <c r="M19" s="8"/>
      <c r="N19" s="8">
        <v>5000</v>
      </c>
      <c r="O19" s="8">
        <v>3</v>
      </c>
      <c r="P19" s="8">
        <f>IF($H19=1,IF(AND(I19&lt;&gt;"",J19&lt;&gt;""),I19/J19/12,""),IF($H19=2,IF(AND(K19&lt;&gt;"",L19&lt;&gt;"",M19&lt;&gt;""),K19*L19*M19,""),IF($H19=3,IF(AND(N19&lt;&gt;"",O19&lt;&gt;""),N19/O19/12,""),IF($H19=4,IF(AND(I19&lt;&gt;"",J19&lt;&gt;""),I19/J19/12,0)+IF(AND(K19&lt;&gt;"",L19&lt;&gt;"",M19&lt;&gt;""),K19*L19*M19,0),IF($H19=5,IF(AND(I19&lt;&gt;"",J19&lt;&gt;""),I19/J19/12,0)+IF(AND(N19&lt;&gt;"",O19&lt;&gt;""),N19/O19/12,0),IF($H19=6,IF(AND(K19&lt;&gt;"",L19&lt;&gt;"",M19&lt;&gt;""),K19*L19*M19,0)+IF(AND(N19&lt;&gt;"",O19&lt;&gt;""),N19/O19/12,0),""))))))</f>
        <v>138.88888888888889</v>
      </c>
      <c r="Q19" s="8">
        <v>2</v>
      </c>
      <c r="R19" s="8"/>
      <c r="S19" s="8"/>
      <c r="T19" s="39">
        <v>8.3333333333333329E-2</v>
      </c>
      <c r="U19" s="8">
        <v>12</v>
      </c>
      <c r="V19" s="8">
        <v>10000</v>
      </c>
      <c r="W19" s="8"/>
      <c r="X19" s="8"/>
      <c r="Y19" s="8">
        <f>IF($Q19=1,IF(AND(R19&lt;&gt;"",S19&lt;&gt;""),R19/S19/12,""),IF($Q19=2,IF(AND(T19&lt;&gt;"",U19&lt;&gt;"",V19&lt;&gt;""),T19*U19*V19,""),IF($Q19=3,IF(AND(W19&lt;&gt;"",X19&lt;&gt;""),W19/X19/12,""),IF($Q19=4,IF(AND(R19&lt;&gt;"",S19&lt;&gt;""),R19/S19/12,0)+IF(AND(T19&lt;&gt;"",U19&lt;&gt;"",V19&lt;&gt;""),T19*U19*V19,0),IF($Q19=5,IF(AND(R19&lt;&gt;"",S19&lt;&gt;""),R19/S19/12,0)+IF(AND(W19&lt;&gt;"",X19&lt;&gt;""),W19/X19/12,0),IF($Q19=6,IF(AND(T19&lt;&gt;"",U19&lt;&gt;"",V19&lt;&gt;""),T19*U19*V19,0)+IF(AND(W19&lt;&gt;"",X19&lt;&gt;""),W19/X19/12,0),""))))))</f>
        <v>10000</v>
      </c>
      <c r="Z19" s="8">
        <v>3</v>
      </c>
      <c r="AA19" s="8"/>
      <c r="AB19" s="8"/>
      <c r="AC19" s="39"/>
      <c r="AD19" s="8"/>
      <c r="AE19" s="8"/>
      <c r="AF19" s="8"/>
      <c r="AG19" s="8">
        <v>10000</v>
      </c>
      <c r="AH19" s="8">
        <v>0.25</v>
      </c>
      <c r="AI19" s="8">
        <f t="shared" si="1"/>
        <v>138.88888888888889</v>
      </c>
      <c r="AJ19" s="10" t="str">
        <f t="shared" si="2"/>
        <v>○</v>
      </c>
      <c r="AK19" s="8">
        <f t="shared" si="3"/>
        <v>10000</v>
      </c>
      <c r="AL19" s="10" t="str">
        <f t="shared" si="4"/>
        <v>○</v>
      </c>
      <c r="AM19" s="8">
        <f t="shared" si="5"/>
        <v>0.25</v>
      </c>
      <c r="AN19" s="10" t="str">
        <f t="shared" si="6"/>
        <v>○</v>
      </c>
      <c r="AO19" s="8">
        <f t="shared" si="7"/>
        <v>138.88888888888889</v>
      </c>
      <c r="AP19" s="10" t="str">
        <f t="shared" si="8"/>
        <v>○</v>
      </c>
      <c r="AQ19" s="8">
        <f t="shared" si="9"/>
        <v>10000</v>
      </c>
      <c r="AR19" s="10" t="str">
        <f t="shared" si="10"/>
        <v>○</v>
      </c>
      <c r="AS19" s="8">
        <f t="shared" si="11"/>
        <v>0.25</v>
      </c>
      <c r="AT19" s="10" t="str">
        <f t="shared" si="12"/>
        <v>○</v>
      </c>
      <c r="AU19" s="8">
        <f t="shared" si="13"/>
        <v>138.88888888888889</v>
      </c>
      <c r="AV19" s="10" t="str">
        <f t="shared" si="14"/>
        <v>○</v>
      </c>
      <c r="AW19" s="8">
        <f t="shared" si="15"/>
        <v>10000</v>
      </c>
      <c r="AX19" s="10" t="str">
        <f t="shared" si="16"/>
        <v>○</v>
      </c>
      <c r="AY19" s="8">
        <f t="shared" si="17"/>
        <v>0.25</v>
      </c>
      <c r="AZ19" s="10" t="str">
        <f t="shared" si="18"/>
        <v>○</v>
      </c>
      <c r="BA19" s="8">
        <f t="shared" si="19"/>
        <v>138.88888888888889</v>
      </c>
      <c r="BB19" s="10" t="str">
        <f t="shared" si="20"/>
        <v>○</v>
      </c>
      <c r="BC19" s="8">
        <f t="shared" si="21"/>
        <v>10000</v>
      </c>
      <c r="BD19" s="10" t="str">
        <f t="shared" si="22"/>
        <v>○</v>
      </c>
      <c r="BE19" s="8">
        <f t="shared" si="23"/>
        <v>0.25</v>
      </c>
      <c r="BF19" s="10" t="str">
        <f t="shared" si="24"/>
        <v>○</v>
      </c>
      <c r="BG19" s="8">
        <f t="shared" si="25"/>
        <v>138.88888888888889</v>
      </c>
      <c r="BH19" s="10" t="str">
        <f t="shared" si="26"/>
        <v>○</v>
      </c>
      <c r="BI19" s="8">
        <f t="shared" si="27"/>
        <v>10000</v>
      </c>
      <c r="BJ19" s="1" t="s">
        <v>977</v>
      </c>
      <c r="BK19" s="1" t="s">
        <v>1102</v>
      </c>
      <c r="BL19" s="1" t="s">
        <v>977</v>
      </c>
      <c r="BM19" s="1" t="s">
        <v>977</v>
      </c>
      <c r="BN19" s="1" t="s">
        <v>1102</v>
      </c>
      <c r="BO19" s="1" t="s">
        <v>1102</v>
      </c>
      <c r="BP19" s="1" t="s">
        <v>1103</v>
      </c>
      <c r="BQ19" s="1" t="s">
        <v>1103</v>
      </c>
      <c r="BR19" s="1" t="s">
        <v>1103</v>
      </c>
      <c r="BS19" s="1" t="s">
        <v>1103</v>
      </c>
      <c r="BT19" s="1" t="s">
        <v>1103</v>
      </c>
    </row>
    <row r="20" spans="1:72" x14ac:dyDescent="0.3">
      <c r="A20">
        <v>19</v>
      </c>
      <c r="B20" t="s">
        <v>621</v>
      </c>
      <c r="C20" t="s">
        <v>1057</v>
      </c>
      <c r="D20" t="s">
        <v>21</v>
      </c>
      <c r="E20" t="s">
        <v>1059</v>
      </c>
      <c r="F20" t="s">
        <v>1060</v>
      </c>
      <c r="G20" t="s">
        <v>1061</v>
      </c>
      <c r="H20">
        <v>2</v>
      </c>
      <c r="I20" s="8"/>
      <c r="J20" s="8"/>
      <c r="K20" s="39">
        <v>8.3333333333333329E-2</v>
      </c>
      <c r="L20" s="8">
        <v>1</v>
      </c>
      <c r="M20" s="8">
        <v>30000</v>
      </c>
      <c r="N20" s="8"/>
      <c r="O20" s="8"/>
      <c r="P20" s="8">
        <f>IF($H20=1,IF(AND(I20&lt;&gt;"",J20&lt;&gt;""),I20/J20/12,""),IF($H20=2,IF(AND(K20&lt;&gt;"",L20&lt;&gt;"",M20&lt;&gt;""),K20*L20*M20,""),IF($H20=3,IF(AND(N20&lt;&gt;"",O20&lt;&gt;""),N20/O20/12,""),IF($H20=4,IF(AND(I20&lt;&gt;"",J20&lt;&gt;""),I20/J20/12,0)+IF(AND(K20&lt;&gt;"",L20&lt;&gt;"",M20&lt;&gt;""),K20*L20*M20,0),IF($H20=5,IF(AND(I20&lt;&gt;"",J20&lt;&gt;""),I20/J20/12,0)+IF(AND(N20&lt;&gt;"",O20&lt;&gt;""),N20/O20/12,0),IF($H20=6,IF(AND(K20&lt;&gt;"",L20&lt;&gt;"",M20&lt;&gt;""),K20*L20*M20,0)+IF(AND(N20&lt;&gt;"",O20&lt;&gt;""),N20/O20/12,0),""))))))</f>
        <v>2500</v>
      </c>
      <c r="Q20" s="8">
        <v>3</v>
      </c>
      <c r="R20" s="8"/>
      <c r="S20" s="8"/>
      <c r="T20" s="39"/>
      <c r="U20" s="8"/>
      <c r="V20" s="8"/>
      <c r="W20" s="8">
        <v>100000</v>
      </c>
      <c r="X20" s="8">
        <v>0.5</v>
      </c>
      <c r="Y20" s="8">
        <f>IF($Q20=1,IF(AND(R20&lt;&gt;"",S20&lt;&gt;""),R20/S20/12,""),IF($Q20=2,IF(AND(T20&lt;&gt;"",U20&lt;&gt;"",V20&lt;&gt;""),T20*U20*V20,""),IF($Q20=3,IF(AND(W20&lt;&gt;"",X20&lt;&gt;""),W20/X20/12,""),IF($Q20=4,IF(AND(R20&lt;&gt;"",S20&lt;&gt;""),R20/S20/12,0)+IF(AND(T20&lt;&gt;"",U20&lt;&gt;"",V20&lt;&gt;""),T20*U20*V20,0),IF($Q20=5,IF(AND(R20&lt;&gt;"",S20&lt;&gt;""),R20/S20/12,0)+IF(AND(W20&lt;&gt;"",X20&lt;&gt;""),W20/X20/12,0),IF($Q20=6,IF(AND(T20&lt;&gt;"",U20&lt;&gt;"",V20&lt;&gt;""),T20*U20*V20,0)+IF(AND(W20&lt;&gt;"",X20&lt;&gt;""),W20/X20/12,0),""))))))</f>
        <v>16666.666666666668</v>
      </c>
      <c r="Z20" s="8">
        <v>3</v>
      </c>
      <c r="AA20" s="8"/>
      <c r="AB20" s="8"/>
      <c r="AC20" s="39"/>
      <c r="AD20" s="8"/>
      <c r="AE20" s="8"/>
      <c r="AF20" s="8">
        <v>20000</v>
      </c>
      <c r="AG20" s="8">
        <v>1</v>
      </c>
      <c r="AH20" s="8">
        <f>IF($Z20=1,IF(AND(AA20&lt;&gt;"",AB20&lt;&gt;""),AA20/AB20/12,""),IF($Z20=2,IF(AND(AC20&lt;&gt;"",AD20&lt;&gt;"",AE20&lt;&gt;""),AC20*AD20*AE20,""),IF($Z20=3,IF(AND(AF20&lt;&gt;"",AG20&lt;&gt;""),AF20/AG20/12,""),IF($Z20=4,IF(AND(AA20&lt;&gt;"",AB20&lt;&gt;""),AA20/AB20/12,0)+IF(AND(AC20&lt;&gt;"",AD20&lt;&gt;"",AE20&lt;&gt;""),AC20*AD20*AE20,0),IF($Z20=5,IF(AND(AA20&lt;&gt;"",AB20&lt;&gt;""),AA20/AB20/12,0)+IF(AND(AF20&lt;&gt;"",AG20&lt;&gt;""),AF20/AG20/12,0),IF($Z20=6,IF(AND(AC20&lt;&gt;"",AD20&lt;&gt;"",AE20&lt;&gt;""),AC20*AD20*AE20,0)+IF(AND(AF20&lt;&gt;"",AG20&lt;&gt;""),AF20/AG20/12,0),""))))))</f>
        <v>1666.6666666666667</v>
      </c>
      <c r="AI20" s="8">
        <f t="shared" si="1"/>
        <v>2500</v>
      </c>
      <c r="AJ20" s="10" t="str">
        <f t="shared" si="2"/>
        <v>○</v>
      </c>
      <c r="AK20" s="8">
        <f t="shared" si="3"/>
        <v>16666.666666666668</v>
      </c>
      <c r="AL20" s="10" t="str">
        <f t="shared" si="4"/>
        <v>○</v>
      </c>
      <c r="AM20" s="8">
        <f t="shared" si="5"/>
        <v>1666.6666666666667</v>
      </c>
      <c r="AN20" s="10" t="str">
        <f t="shared" si="6"/>
        <v>○</v>
      </c>
      <c r="AO20" s="8">
        <f t="shared" si="7"/>
        <v>2500</v>
      </c>
      <c r="AP20" s="10" t="str">
        <f t="shared" si="8"/>
        <v>○</v>
      </c>
      <c r="AQ20" s="8">
        <f t="shared" si="9"/>
        <v>16666.666666666668</v>
      </c>
      <c r="AR20" s="10" t="str">
        <f t="shared" si="10"/>
        <v>○</v>
      </c>
      <c r="AS20" s="8">
        <f t="shared" si="11"/>
        <v>1666.6666666666667</v>
      </c>
      <c r="AT20" s="10" t="str">
        <f t="shared" si="12"/>
        <v>○</v>
      </c>
      <c r="AU20" s="8">
        <f t="shared" si="13"/>
        <v>2500</v>
      </c>
      <c r="AV20" s="10" t="str">
        <f t="shared" si="14"/>
        <v>○</v>
      </c>
      <c r="AW20" s="8">
        <f t="shared" si="15"/>
        <v>16666.666666666668</v>
      </c>
      <c r="AX20" s="10" t="str">
        <f t="shared" si="16"/>
        <v>○</v>
      </c>
      <c r="AY20" s="8">
        <f t="shared" si="17"/>
        <v>1666.6666666666667</v>
      </c>
      <c r="AZ20" s="10" t="str">
        <f t="shared" si="18"/>
        <v>○</v>
      </c>
      <c r="BA20" s="8">
        <f t="shared" si="19"/>
        <v>2500</v>
      </c>
      <c r="BB20" s="10" t="str">
        <f t="shared" si="20"/>
        <v>○</v>
      </c>
      <c r="BC20" s="8">
        <f t="shared" si="21"/>
        <v>16666.666666666668</v>
      </c>
      <c r="BD20" s="10" t="str">
        <f t="shared" si="22"/>
        <v>○</v>
      </c>
      <c r="BE20" s="8">
        <f t="shared" si="23"/>
        <v>1666.6666666666667</v>
      </c>
      <c r="BF20" s="10" t="str">
        <f t="shared" si="24"/>
        <v>○</v>
      </c>
      <c r="BG20" s="8">
        <f t="shared" si="25"/>
        <v>2500</v>
      </c>
      <c r="BH20" s="10" t="str">
        <f t="shared" si="26"/>
        <v>○</v>
      </c>
      <c r="BI20" s="8">
        <f t="shared" si="27"/>
        <v>16666.666666666668</v>
      </c>
      <c r="BJ20" s="1" t="s">
        <v>1104</v>
      </c>
      <c r="BK20" s="1" t="s">
        <v>1104</v>
      </c>
      <c r="BL20" s="1" t="s">
        <v>1104</v>
      </c>
      <c r="BM20" s="1" t="s">
        <v>1105</v>
      </c>
      <c r="BN20" s="1" t="s">
        <v>1105</v>
      </c>
      <c r="BO20" s="1" t="s">
        <v>1104</v>
      </c>
      <c r="BP20" s="1" t="s">
        <v>1103</v>
      </c>
      <c r="BQ20" s="1" t="s">
        <v>1103</v>
      </c>
      <c r="BR20" s="1" t="s">
        <v>1103</v>
      </c>
      <c r="BS20" s="1" t="s">
        <v>1103</v>
      </c>
      <c r="BT20" s="1" t="s">
        <v>1103</v>
      </c>
    </row>
    <row r="21" spans="1:72" x14ac:dyDescent="0.3">
      <c r="A21">
        <v>20</v>
      </c>
      <c r="B21" t="s">
        <v>182</v>
      </c>
      <c r="C21" t="s">
        <v>625</v>
      </c>
      <c r="D21" t="s">
        <v>25</v>
      </c>
      <c r="E21" t="s">
        <v>791</v>
      </c>
      <c r="F21" t="s">
        <v>397</v>
      </c>
      <c r="G21" t="s">
        <v>438</v>
      </c>
      <c r="H21">
        <v>2</v>
      </c>
      <c r="I21" s="8"/>
      <c r="J21" s="8"/>
      <c r="K21" s="39">
        <v>8.3333333333333329E-2</v>
      </c>
      <c r="L21" s="8">
        <v>12</v>
      </c>
      <c r="M21" s="8">
        <v>20000</v>
      </c>
      <c r="N21" s="8"/>
      <c r="O21" s="8"/>
      <c r="P21" s="8">
        <f t="shared" si="0"/>
        <v>20000</v>
      </c>
      <c r="Q21" s="8">
        <v>2</v>
      </c>
      <c r="R21" s="8"/>
      <c r="S21" s="8"/>
      <c r="T21" s="39">
        <v>8.3333333333333329E-2</v>
      </c>
      <c r="U21" s="8">
        <v>12</v>
      </c>
      <c r="V21" s="8">
        <v>100000</v>
      </c>
      <c r="W21" s="8"/>
      <c r="X21" s="8"/>
      <c r="Y21" s="8">
        <f t="shared" si="28"/>
        <v>100000</v>
      </c>
      <c r="Z21" s="8">
        <v>2</v>
      </c>
      <c r="AA21" s="8"/>
      <c r="AB21" s="8"/>
      <c r="AC21" s="39">
        <v>8.3333333333333329E-2</v>
      </c>
      <c r="AD21" s="8">
        <v>12</v>
      </c>
      <c r="AE21" s="8">
        <v>60000</v>
      </c>
      <c r="AF21" s="8"/>
      <c r="AG21" s="8"/>
      <c r="AH21" s="8">
        <f t="shared" si="29"/>
        <v>60000</v>
      </c>
      <c r="AI21" s="8">
        <f t="shared" si="1"/>
        <v>20000</v>
      </c>
      <c r="AJ21" s="10" t="str">
        <f t="shared" si="2"/>
        <v>○</v>
      </c>
      <c r="AK21" s="8">
        <f t="shared" si="3"/>
        <v>100000</v>
      </c>
      <c r="AL21" s="10" t="str">
        <f t="shared" si="4"/>
        <v>○</v>
      </c>
      <c r="AM21" s="8">
        <f t="shared" si="5"/>
        <v>60000</v>
      </c>
      <c r="AN21" s="10" t="str">
        <f t="shared" si="6"/>
        <v>○</v>
      </c>
      <c r="AO21" s="8">
        <f t="shared" si="7"/>
        <v>20000</v>
      </c>
      <c r="AP21" s="10" t="str">
        <f t="shared" si="8"/>
        <v>○</v>
      </c>
      <c r="AQ21" s="8">
        <f t="shared" si="9"/>
        <v>100000</v>
      </c>
      <c r="AR21" s="10" t="str">
        <f t="shared" si="10"/>
        <v>○</v>
      </c>
      <c r="AS21" s="8">
        <f t="shared" si="11"/>
        <v>60000</v>
      </c>
      <c r="AT21" s="10" t="str">
        <f t="shared" si="12"/>
        <v>○</v>
      </c>
      <c r="AU21" s="8">
        <f t="shared" si="13"/>
        <v>20000</v>
      </c>
      <c r="AV21" s="10" t="str">
        <f t="shared" si="14"/>
        <v>○</v>
      </c>
      <c r="AW21" s="8">
        <f t="shared" si="15"/>
        <v>100000</v>
      </c>
      <c r="AX21" s="10" t="str">
        <f t="shared" si="16"/>
        <v>○</v>
      </c>
      <c r="AY21" s="8">
        <f t="shared" si="17"/>
        <v>60000</v>
      </c>
      <c r="AZ21" s="10" t="str">
        <f t="shared" si="18"/>
        <v>○</v>
      </c>
      <c r="BA21" s="8">
        <f t="shared" si="19"/>
        <v>20000</v>
      </c>
      <c r="BB21" s="10" t="str">
        <f t="shared" si="20"/>
        <v>○</v>
      </c>
      <c r="BC21" s="8">
        <f t="shared" si="21"/>
        <v>100000</v>
      </c>
      <c r="BD21" s="10" t="str">
        <f t="shared" si="22"/>
        <v>○</v>
      </c>
      <c r="BE21" s="8">
        <f t="shared" si="23"/>
        <v>60000</v>
      </c>
      <c r="BF21" s="10" t="str">
        <f t="shared" si="24"/>
        <v>○</v>
      </c>
      <c r="BG21" s="8">
        <f t="shared" si="25"/>
        <v>20000</v>
      </c>
      <c r="BH21" s="10" t="str">
        <f t="shared" si="26"/>
        <v>○</v>
      </c>
      <c r="BI21" s="8">
        <f t="shared" si="27"/>
        <v>100000</v>
      </c>
      <c r="BJ21" s="1" t="s">
        <v>977</v>
      </c>
      <c r="BK21" s="1" t="s">
        <v>1102</v>
      </c>
      <c r="BL21" s="1" t="s">
        <v>977</v>
      </c>
      <c r="BM21" s="1" t="s">
        <v>977</v>
      </c>
      <c r="BN21" s="1" t="s">
        <v>977</v>
      </c>
      <c r="BO21" s="1" t="s">
        <v>1102</v>
      </c>
      <c r="BP21" s="1" t="s">
        <v>1103</v>
      </c>
      <c r="BQ21" s="1" t="s">
        <v>1103</v>
      </c>
      <c r="BR21" s="1" t="s">
        <v>1103</v>
      </c>
      <c r="BS21" s="1" t="s">
        <v>1103</v>
      </c>
      <c r="BT21" s="1" t="s">
        <v>1103</v>
      </c>
    </row>
    <row r="22" spans="1:72" x14ac:dyDescent="0.3">
      <c r="A22">
        <v>21</v>
      </c>
      <c r="B22" t="s">
        <v>182</v>
      </c>
      <c r="C22" t="s">
        <v>626</v>
      </c>
      <c r="D22" t="s">
        <v>63</v>
      </c>
      <c r="E22" t="s">
        <v>742</v>
      </c>
      <c r="F22" t="s">
        <v>957</v>
      </c>
      <c r="G22" t="s">
        <v>503</v>
      </c>
      <c r="H22">
        <v>1</v>
      </c>
      <c r="I22" s="8">
        <v>100000</v>
      </c>
      <c r="J22" s="8">
        <v>5</v>
      </c>
      <c r="K22" s="39"/>
      <c r="L22" s="8"/>
      <c r="M22" s="8"/>
      <c r="N22" s="8"/>
      <c r="O22" s="8"/>
      <c r="P22" s="8">
        <f t="shared" si="0"/>
        <v>1666.6666666666667</v>
      </c>
      <c r="Q22" s="8">
        <v>1</v>
      </c>
      <c r="R22" s="8">
        <v>160000</v>
      </c>
      <c r="S22" s="8">
        <v>2</v>
      </c>
      <c r="T22" s="39"/>
      <c r="U22" s="8"/>
      <c r="V22" s="8"/>
      <c r="W22" s="8"/>
      <c r="X22" s="8"/>
      <c r="Y22" s="8">
        <f t="shared" si="28"/>
        <v>6666.666666666667</v>
      </c>
      <c r="Z22" s="8">
        <v>1</v>
      </c>
      <c r="AA22" s="8">
        <v>20000</v>
      </c>
      <c r="AB22" s="8">
        <v>0.25</v>
      </c>
      <c r="AC22" s="39"/>
      <c r="AD22" s="8"/>
      <c r="AE22" s="8"/>
      <c r="AF22" s="8"/>
      <c r="AG22" s="8"/>
      <c r="AH22" s="8">
        <f t="shared" si="29"/>
        <v>6666.666666666667</v>
      </c>
      <c r="AI22" s="8">
        <f t="shared" si="1"/>
        <v>1666.6666666666667</v>
      </c>
      <c r="AJ22" s="10" t="str">
        <f t="shared" si="2"/>
        <v>○</v>
      </c>
      <c r="AK22" s="8">
        <f t="shared" si="3"/>
        <v>6666.666666666667</v>
      </c>
      <c r="AL22" s="10" t="str">
        <f t="shared" si="4"/>
        <v>○</v>
      </c>
      <c r="AM22" s="8">
        <f t="shared" si="5"/>
        <v>6666.666666666667</v>
      </c>
      <c r="AN22" s="10" t="str">
        <f t="shared" si="6"/>
        <v>○</v>
      </c>
      <c r="AO22" s="8">
        <f t="shared" si="7"/>
        <v>1666.6666666666667</v>
      </c>
      <c r="AP22" s="10" t="str">
        <f t="shared" si="8"/>
        <v>○</v>
      </c>
      <c r="AQ22" s="8">
        <f t="shared" si="9"/>
        <v>6666.666666666667</v>
      </c>
      <c r="AR22" s="10" t="str">
        <f t="shared" si="10"/>
        <v>○</v>
      </c>
      <c r="AS22" s="8">
        <f t="shared" si="11"/>
        <v>6666.666666666667</v>
      </c>
      <c r="AT22" s="10" t="str">
        <f t="shared" si="12"/>
        <v>○</v>
      </c>
      <c r="AU22" s="8">
        <f t="shared" si="13"/>
        <v>1666.6666666666667</v>
      </c>
      <c r="AV22" s="10" t="str">
        <f t="shared" si="14"/>
        <v>○</v>
      </c>
      <c r="AW22" s="8">
        <f t="shared" si="15"/>
        <v>6666.666666666667</v>
      </c>
      <c r="AX22" s="10" t="str">
        <f t="shared" si="16"/>
        <v>○</v>
      </c>
      <c r="AY22" s="8">
        <f t="shared" si="17"/>
        <v>6666.666666666667</v>
      </c>
      <c r="AZ22" s="10" t="str">
        <f t="shared" si="18"/>
        <v>○</v>
      </c>
      <c r="BA22" s="8">
        <f t="shared" si="19"/>
        <v>1666.6666666666667</v>
      </c>
      <c r="BB22" s="10" t="str">
        <f t="shared" si="20"/>
        <v>○</v>
      </c>
      <c r="BC22" s="8">
        <f t="shared" si="21"/>
        <v>6666.666666666667</v>
      </c>
      <c r="BD22" s="10" t="str">
        <f t="shared" si="22"/>
        <v>○</v>
      </c>
      <c r="BE22" s="8">
        <f t="shared" si="23"/>
        <v>6666.666666666667</v>
      </c>
      <c r="BF22" s="10" t="str">
        <f t="shared" si="24"/>
        <v>○</v>
      </c>
      <c r="BG22" s="8">
        <f t="shared" si="25"/>
        <v>1666.6666666666667</v>
      </c>
      <c r="BH22" s="10" t="str">
        <f t="shared" si="26"/>
        <v>○</v>
      </c>
      <c r="BI22" s="8">
        <f t="shared" si="27"/>
        <v>6666.666666666667</v>
      </c>
      <c r="BJ22" s="1" t="s">
        <v>977</v>
      </c>
      <c r="BK22" s="1" t="s">
        <v>1102</v>
      </c>
      <c r="BL22" s="1" t="s">
        <v>977</v>
      </c>
      <c r="BM22" s="1" t="s">
        <v>977</v>
      </c>
      <c r="BN22" s="1" t="s">
        <v>977</v>
      </c>
      <c r="BO22" s="1" t="s">
        <v>1102</v>
      </c>
      <c r="BP22" s="1" t="s">
        <v>1103</v>
      </c>
      <c r="BQ22" s="1" t="s">
        <v>1103</v>
      </c>
      <c r="BR22" s="1" t="s">
        <v>1103</v>
      </c>
      <c r="BS22" s="1" t="s">
        <v>1103</v>
      </c>
      <c r="BT22" s="1" t="s">
        <v>1103</v>
      </c>
    </row>
    <row r="23" spans="1:72" x14ac:dyDescent="0.3">
      <c r="A23">
        <v>22</v>
      </c>
      <c r="B23" t="s">
        <v>182</v>
      </c>
      <c r="C23" t="s">
        <v>628</v>
      </c>
      <c r="D23" t="s">
        <v>123</v>
      </c>
      <c r="E23" t="s">
        <v>630</v>
      </c>
      <c r="F23" t="s">
        <v>297</v>
      </c>
      <c r="G23" t="s">
        <v>515</v>
      </c>
      <c r="H23">
        <v>1</v>
      </c>
      <c r="I23" s="8">
        <v>10000</v>
      </c>
      <c r="J23" s="8">
        <v>8</v>
      </c>
      <c r="K23" s="39"/>
      <c r="L23" s="8"/>
      <c r="M23" s="8"/>
      <c r="N23" s="8"/>
      <c r="O23" s="8"/>
      <c r="P23" s="8">
        <f t="shared" si="0"/>
        <v>104.16666666666667</v>
      </c>
      <c r="Q23" s="8">
        <v>1</v>
      </c>
      <c r="R23" s="8">
        <v>80000</v>
      </c>
      <c r="S23" s="8">
        <v>2</v>
      </c>
      <c r="T23" s="39"/>
      <c r="U23" s="8"/>
      <c r="V23" s="8"/>
      <c r="W23" s="8"/>
      <c r="X23" s="8"/>
      <c r="Y23" s="8">
        <f t="shared" si="28"/>
        <v>3333.3333333333335</v>
      </c>
      <c r="Z23" s="8">
        <v>1</v>
      </c>
      <c r="AA23" s="8">
        <v>10000</v>
      </c>
      <c r="AB23" s="8">
        <v>10</v>
      </c>
      <c r="AC23" s="39"/>
      <c r="AD23" s="8"/>
      <c r="AE23" s="8"/>
      <c r="AF23" s="8"/>
      <c r="AG23" s="8"/>
      <c r="AH23" s="8">
        <f t="shared" si="29"/>
        <v>83.333333333333329</v>
      </c>
      <c r="AI23" s="8">
        <f t="shared" si="1"/>
        <v>104.16666666666667</v>
      </c>
      <c r="AJ23" s="10" t="str">
        <f t="shared" si="2"/>
        <v>○</v>
      </c>
      <c r="AK23" s="8">
        <f t="shared" si="3"/>
        <v>3333.3333333333335</v>
      </c>
      <c r="AL23" s="10" t="str">
        <f t="shared" si="4"/>
        <v>○</v>
      </c>
      <c r="AM23" s="8">
        <f t="shared" si="5"/>
        <v>83.333333333333329</v>
      </c>
      <c r="AN23" s="10" t="str">
        <f t="shared" si="6"/>
        <v>○</v>
      </c>
      <c r="AO23" s="8">
        <f t="shared" si="7"/>
        <v>104.16666666666667</v>
      </c>
      <c r="AP23" s="10" t="str">
        <f t="shared" si="8"/>
        <v>○</v>
      </c>
      <c r="AQ23" s="8">
        <f t="shared" si="9"/>
        <v>3333.3333333333335</v>
      </c>
      <c r="AR23" s="10" t="str">
        <f t="shared" si="10"/>
        <v>○</v>
      </c>
      <c r="AS23" s="8">
        <f t="shared" si="11"/>
        <v>83.333333333333329</v>
      </c>
      <c r="AT23" s="10" t="str">
        <f t="shared" si="12"/>
        <v>○</v>
      </c>
      <c r="AU23" s="8">
        <f t="shared" si="13"/>
        <v>104.16666666666667</v>
      </c>
      <c r="AV23" s="10" t="str">
        <f t="shared" si="14"/>
        <v>○</v>
      </c>
      <c r="AW23" s="8">
        <f t="shared" si="15"/>
        <v>3333.3333333333335</v>
      </c>
      <c r="AX23" s="10" t="str">
        <f t="shared" si="16"/>
        <v>○</v>
      </c>
      <c r="AY23" s="8">
        <f t="shared" si="17"/>
        <v>83.333333333333329</v>
      </c>
      <c r="AZ23" s="10" t="str">
        <f t="shared" si="18"/>
        <v>○</v>
      </c>
      <c r="BA23" s="8">
        <f t="shared" si="19"/>
        <v>104.16666666666667</v>
      </c>
      <c r="BB23" s="10" t="str">
        <f t="shared" si="20"/>
        <v>○</v>
      </c>
      <c r="BC23" s="8">
        <f t="shared" si="21"/>
        <v>3333.3333333333335</v>
      </c>
      <c r="BD23" s="10" t="str">
        <f t="shared" si="22"/>
        <v>○</v>
      </c>
      <c r="BE23" s="8">
        <f t="shared" si="23"/>
        <v>83.333333333333329</v>
      </c>
      <c r="BF23" s="10" t="str">
        <f t="shared" si="24"/>
        <v>○</v>
      </c>
      <c r="BG23" s="8">
        <f t="shared" si="25"/>
        <v>104.16666666666667</v>
      </c>
      <c r="BH23" s="10" t="str">
        <f t="shared" si="26"/>
        <v>○</v>
      </c>
      <c r="BI23" s="8">
        <f t="shared" si="27"/>
        <v>3333.3333333333335</v>
      </c>
      <c r="BJ23" s="1" t="s">
        <v>977</v>
      </c>
      <c r="BK23" s="1" t="s">
        <v>1102</v>
      </c>
      <c r="BL23" s="1" t="s">
        <v>977</v>
      </c>
      <c r="BM23" s="1" t="s">
        <v>977</v>
      </c>
      <c r="BN23" s="1" t="s">
        <v>1102</v>
      </c>
      <c r="BO23" s="1" t="s">
        <v>1102</v>
      </c>
      <c r="BP23" s="1" t="s">
        <v>1103</v>
      </c>
      <c r="BQ23" s="1" t="s">
        <v>1103</v>
      </c>
      <c r="BR23" s="1" t="s">
        <v>1103</v>
      </c>
      <c r="BS23" s="1" t="s">
        <v>1103</v>
      </c>
      <c r="BT23" s="1" t="s">
        <v>1103</v>
      </c>
    </row>
    <row r="24" spans="1:72" x14ac:dyDescent="0.3">
      <c r="A24">
        <v>23</v>
      </c>
      <c r="B24" t="s">
        <v>182</v>
      </c>
      <c r="C24" t="s">
        <v>631</v>
      </c>
      <c r="D24" t="s">
        <v>104</v>
      </c>
      <c r="E24" t="s">
        <v>633</v>
      </c>
      <c r="F24" t="s">
        <v>304</v>
      </c>
      <c r="G24" t="s">
        <v>528</v>
      </c>
      <c r="H24">
        <v>1</v>
      </c>
      <c r="I24" s="8">
        <v>20000</v>
      </c>
      <c r="J24" s="8">
        <v>2</v>
      </c>
      <c r="K24" s="39"/>
      <c r="L24" s="8"/>
      <c r="M24" s="8"/>
      <c r="N24" s="8"/>
      <c r="O24" s="8"/>
      <c r="P24" s="8">
        <f t="shared" si="0"/>
        <v>833.33333333333337</v>
      </c>
      <c r="Q24" s="8">
        <v>3</v>
      </c>
      <c r="R24" s="8"/>
      <c r="S24" s="8"/>
      <c r="T24" s="39"/>
      <c r="U24" s="8"/>
      <c r="V24" s="8"/>
      <c r="W24" s="8">
        <v>50000</v>
      </c>
      <c r="X24" s="8">
        <v>1</v>
      </c>
      <c r="Y24" s="8">
        <f t="shared" si="28"/>
        <v>4166.666666666667</v>
      </c>
      <c r="Z24" s="8">
        <v>3</v>
      </c>
      <c r="AA24" s="8"/>
      <c r="AB24" s="8"/>
      <c r="AC24" s="39"/>
      <c r="AD24" s="8"/>
      <c r="AE24" s="8"/>
      <c r="AF24" s="8">
        <v>20000</v>
      </c>
      <c r="AG24" s="8">
        <v>2</v>
      </c>
      <c r="AH24" s="8">
        <f t="shared" si="29"/>
        <v>833.33333333333337</v>
      </c>
      <c r="AI24" s="8">
        <f t="shared" si="1"/>
        <v>833.33333333333337</v>
      </c>
      <c r="AJ24" s="10" t="str">
        <f t="shared" si="2"/>
        <v>○</v>
      </c>
      <c r="AK24" s="8">
        <f t="shared" si="3"/>
        <v>4166.666666666667</v>
      </c>
      <c r="AL24" s="10" t="str">
        <f t="shared" si="4"/>
        <v>○</v>
      </c>
      <c r="AM24" s="8">
        <f t="shared" si="5"/>
        <v>833.33333333333337</v>
      </c>
      <c r="AN24" s="10" t="str">
        <f t="shared" si="6"/>
        <v>○</v>
      </c>
      <c r="AO24" s="8">
        <f t="shared" si="7"/>
        <v>833.33333333333337</v>
      </c>
      <c r="AP24" s="10" t="str">
        <f t="shared" si="8"/>
        <v>○</v>
      </c>
      <c r="AQ24" s="8">
        <f t="shared" si="9"/>
        <v>4166.666666666667</v>
      </c>
      <c r="AR24" s="10" t="str">
        <f t="shared" si="10"/>
        <v>○</v>
      </c>
      <c r="AS24" s="8">
        <f t="shared" si="11"/>
        <v>833.33333333333337</v>
      </c>
      <c r="AT24" s="10" t="str">
        <f t="shared" si="12"/>
        <v>○</v>
      </c>
      <c r="AU24" s="8">
        <f t="shared" si="13"/>
        <v>833.33333333333337</v>
      </c>
      <c r="AV24" s="10" t="str">
        <f t="shared" si="14"/>
        <v>○</v>
      </c>
      <c r="AW24" s="8">
        <f t="shared" si="15"/>
        <v>4166.666666666667</v>
      </c>
      <c r="AX24" s="10" t="str">
        <f t="shared" si="16"/>
        <v>○</v>
      </c>
      <c r="AY24" s="8">
        <f t="shared" si="17"/>
        <v>833.33333333333337</v>
      </c>
      <c r="AZ24" s="10" t="str">
        <f t="shared" si="18"/>
        <v>○</v>
      </c>
      <c r="BA24" s="8">
        <f t="shared" si="19"/>
        <v>833.33333333333337</v>
      </c>
      <c r="BB24" s="10" t="str">
        <f t="shared" si="20"/>
        <v>○</v>
      </c>
      <c r="BC24" s="8">
        <f t="shared" si="21"/>
        <v>4166.666666666667</v>
      </c>
      <c r="BD24" s="10" t="str">
        <f t="shared" si="22"/>
        <v>○</v>
      </c>
      <c r="BE24" s="8">
        <f t="shared" si="23"/>
        <v>833.33333333333337</v>
      </c>
      <c r="BF24" s="10" t="str">
        <f t="shared" si="24"/>
        <v>○</v>
      </c>
      <c r="BG24" s="8">
        <f t="shared" si="25"/>
        <v>833.33333333333337</v>
      </c>
      <c r="BH24" s="10" t="str">
        <f t="shared" si="26"/>
        <v>○</v>
      </c>
      <c r="BI24" s="8">
        <f t="shared" si="27"/>
        <v>4166.666666666667</v>
      </c>
      <c r="BJ24" s="1" t="s">
        <v>977</v>
      </c>
      <c r="BK24" s="1" t="s">
        <v>1102</v>
      </c>
      <c r="BL24" s="1" t="s">
        <v>1102</v>
      </c>
      <c r="BM24" s="1" t="s">
        <v>977</v>
      </c>
      <c r="BN24" s="1" t="s">
        <v>1102</v>
      </c>
      <c r="BO24" s="1" t="s">
        <v>1102</v>
      </c>
      <c r="BP24" s="1" t="s">
        <v>1103</v>
      </c>
      <c r="BQ24" s="1" t="s">
        <v>1103</v>
      </c>
      <c r="BR24" s="1" t="s">
        <v>1103</v>
      </c>
      <c r="BS24" s="1" t="s">
        <v>1103</v>
      </c>
      <c r="BT24" s="1" t="s">
        <v>1103</v>
      </c>
    </row>
    <row r="25" spans="1:72" x14ac:dyDescent="0.3">
      <c r="A25">
        <v>24</v>
      </c>
      <c r="B25" t="s">
        <v>182</v>
      </c>
      <c r="C25" t="s">
        <v>634</v>
      </c>
      <c r="D25" t="s">
        <v>20</v>
      </c>
      <c r="E25" t="s">
        <v>792</v>
      </c>
      <c r="F25" t="s">
        <v>904</v>
      </c>
      <c r="G25" t="s">
        <v>905</v>
      </c>
      <c r="H25">
        <v>2</v>
      </c>
      <c r="I25" s="8"/>
      <c r="J25" s="8"/>
      <c r="K25" s="39">
        <v>1</v>
      </c>
      <c r="L25" s="8">
        <v>2</v>
      </c>
      <c r="M25" s="8">
        <v>100000</v>
      </c>
      <c r="N25" s="8"/>
      <c r="O25" s="8"/>
      <c r="P25" s="8">
        <f t="shared" si="0"/>
        <v>200000</v>
      </c>
      <c r="Q25" s="8">
        <v>2</v>
      </c>
      <c r="R25" s="8"/>
      <c r="S25" s="8"/>
      <c r="T25" s="39">
        <v>1</v>
      </c>
      <c r="U25" s="8">
        <v>4</v>
      </c>
      <c r="V25" s="8">
        <v>100000</v>
      </c>
      <c r="W25" s="8"/>
      <c r="X25" s="8"/>
      <c r="Y25" s="8">
        <f t="shared" si="28"/>
        <v>400000</v>
      </c>
      <c r="Z25" s="8">
        <v>2</v>
      </c>
      <c r="AA25" s="8"/>
      <c r="AB25" s="8"/>
      <c r="AC25" s="39">
        <v>1</v>
      </c>
      <c r="AD25" s="8">
        <v>2</v>
      </c>
      <c r="AE25" s="8">
        <v>20000</v>
      </c>
      <c r="AF25" s="8"/>
      <c r="AG25" s="8"/>
      <c r="AH25" s="8">
        <f t="shared" si="29"/>
        <v>40000</v>
      </c>
      <c r="AI25" s="8">
        <f t="shared" si="1"/>
        <v>200000</v>
      </c>
      <c r="AJ25" s="10" t="str">
        <f t="shared" si="2"/>
        <v>○</v>
      </c>
      <c r="AK25" s="8">
        <f t="shared" si="3"/>
        <v>400000</v>
      </c>
      <c r="AL25" s="10" t="str">
        <f t="shared" si="4"/>
        <v>○</v>
      </c>
      <c r="AM25" s="8">
        <f t="shared" si="5"/>
        <v>40000</v>
      </c>
      <c r="AN25" s="10" t="str">
        <f t="shared" si="6"/>
        <v>○</v>
      </c>
      <c r="AO25" s="8">
        <f t="shared" si="7"/>
        <v>200000</v>
      </c>
      <c r="AP25" s="10" t="str">
        <f t="shared" si="8"/>
        <v>○</v>
      </c>
      <c r="AQ25" s="8">
        <f t="shared" si="9"/>
        <v>400000</v>
      </c>
      <c r="AR25" s="10" t="str">
        <f t="shared" si="10"/>
        <v>○</v>
      </c>
      <c r="AS25" s="8">
        <f t="shared" si="11"/>
        <v>40000</v>
      </c>
      <c r="AT25" s="10" t="str">
        <f t="shared" si="12"/>
        <v>○</v>
      </c>
      <c r="AU25" s="8">
        <f t="shared" si="13"/>
        <v>200000</v>
      </c>
      <c r="AV25" s="10" t="str">
        <f t="shared" si="14"/>
        <v>○</v>
      </c>
      <c r="AW25" s="8">
        <f t="shared" si="15"/>
        <v>400000</v>
      </c>
      <c r="AX25" s="10" t="str">
        <f t="shared" si="16"/>
        <v>○</v>
      </c>
      <c r="AY25" s="8">
        <f t="shared" si="17"/>
        <v>40000</v>
      </c>
      <c r="AZ25" s="10" t="str">
        <f t="shared" si="18"/>
        <v>○</v>
      </c>
      <c r="BA25" s="8">
        <f t="shared" si="19"/>
        <v>200000</v>
      </c>
      <c r="BB25" s="10" t="str">
        <f t="shared" si="20"/>
        <v>○</v>
      </c>
      <c r="BC25" s="8">
        <f t="shared" si="21"/>
        <v>400000</v>
      </c>
      <c r="BD25" s="10" t="str">
        <f t="shared" si="22"/>
        <v>○</v>
      </c>
      <c r="BE25" s="8">
        <f t="shared" si="23"/>
        <v>40000</v>
      </c>
      <c r="BF25" s="10" t="str">
        <f t="shared" si="24"/>
        <v>○</v>
      </c>
      <c r="BG25" s="8">
        <f t="shared" si="25"/>
        <v>200000</v>
      </c>
      <c r="BH25" s="10" t="str">
        <f t="shared" si="26"/>
        <v>○</v>
      </c>
      <c r="BI25" s="8">
        <f t="shared" si="27"/>
        <v>400000</v>
      </c>
      <c r="BJ25" s="1" t="s">
        <v>977</v>
      </c>
      <c r="BK25" s="1" t="s">
        <v>1102</v>
      </c>
      <c r="BL25" s="1" t="s">
        <v>977</v>
      </c>
      <c r="BM25" s="1" t="s">
        <v>977</v>
      </c>
      <c r="BN25" s="1" t="s">
        <v>1102</v>
      </c>
      <c r="BO25" s="1" t="s">
        <v>1102</v>
      </c>
      <c r="BP25" s="1" t="s">
        <v>1103</v>
      </c>
      <c r="BQ25" s="1" t="s">
        <v>1103</v>
      </c>
      <c r="BR25" s="1" t="s">
        <v>1103</v>
      </c>
      <c r="BS25" s="1" t="s">
        <v>1103</v>
      </c>
      <c r="BT25" s="1" t="s">
        <v>1103</v>
      </c>
    </row>
    <row r="26" spans="1:72" x14ac:dyDescent="0.3">
      <c r="A26">
        <v>25</v>
      </c>
      <c r="B26" t="s">
        <v>182</v>
      </c>
      <c r="C26" t="s">
        <v>635</v>
      </c>
      <c r="D26" t="s">
        <v>20</v>
      </c>
      <c r="E26" t="s">
        <v>1064</v>
      </c>
      <c r="F26" t="s">
        <v>906</v>
      </c>
      <c r="G26" t="s">
        <v>907</v>
      </c>
      <c r="H26">
        <v>2</v>
      </c>
      <c r="I26" s="8"/>
      <c r="J26" s="8"/>
      <c r="K26" s="39">
        <v>1</v>
      </c>
      <c r="L26" s="8">
        <v>1</v>
      </c>
      <c r="M26" s="8">
        <v>20000</v>
      </c>
      <c r="N26" s="8"/>
      <c r="O26" s="8"/>
      <c r="P26" s="8">
        <f t="shared" si="0"/>
        <v>20000</v>
      </c>
      <c r="Q26" s="8">
        <v>2</v>
      </c>
      <c r="R26" s="8"/>
      <c r="S26" s="8"/>
      <c r="T26" s="39">
        <v>1</v>
      </c>
      <c r="U26" s="8">
        <v>8</v>
      </c>
      <c r="V26" s="8">
        <v>25000</v>
      </c>
      <c r="W26" s="8"/>
      <c r="X26" s="8"/>
      <c r="Y26" s="8">
        <f t="shared" si="28"/>
        <v>200000</v>
      </c>
      <c r="Z26" s="8">
        <v>2</v>
      </c>
      <c r="AA26" s="8"/>
      <c r="AB26" s="8"/>
      <c r="AC26" s="39">
        <v>1</v>
      </c>
      <c r="AD26" s="8">
        <v>4</v>
      </c>
      <c r="AE26" s="8">
        <v>20000</v>
      </c>
      <c r="AF26" s="8"/>
      <c r="AG26" s="8"/>
      <c r="AH26" s="8">
        <f t="shared" si="29"/>
        <v>80000</v>
      </c>
      <c r="AI26" s="8">
        <f t="shared" si="1"/>
        <v>20000</v>
      </c>
      <c r="AJ26" s="10" t="str">
        <f t="shared" si="2"/>
        <v>○</v>
      </c>
      <c r="AK26" s="8">
        <f t="shared" si="3"/>
        <v>200000</v>
      </c>
      <c r="AL26" s="10" t="str">
        <f t="shared" si="4"/>
        <v>○</v>
      </c>
      <c r="AM26" s="8">
        <f t="shared" si="5"/>
        <v>80000</v>
      </c>
      <c r="AN26" s="10" t="str">
        <f t="shared" si="6"/>
        <v>○</v>
      </c>
      <c r="AO26" s="8">
        <f t="shared" si="7"/>
        <v>20000</v>
      </c>
      <c r="AP26" s="10" t="str">
        <f t="shared" si="8"/>
        <v>○</v>
      </c>
      <c r="AQ26" s="8">
        <f t="shared" si="9"/>
        <v>200000</v>
      </c>
      <c r="AR26" s="10" t="str">
        <f t="shared" si="10"/>
        <v>○</v>
      </c>
      <c r="AS26" s="8">
        <f t="shared" si="11"/>
        <v>80000</v>
      </c>
      <c r="AT26" s="10" t="str">
        <f t="shared" si="12"/>
        <v>○</v>
      </c>
      <c r="AU26" s="8">
        <f t="shared" si="13"/>
        <v>20000</v>
      </c>
      <c r="AV26" s="10" t="str">
        <f t="shared" si="14"/>
        <v>○</v>
      </c>
      <c r="AW26" s="8">
        <f t="shared" si="15"/>
        <v>200000</v>
      </c>
      <c r="AX26" s="10" t="str">
        <f t="shared" si="16"/>
        <v>○</v>
      </c>
      <c r="AY26" s="8">
        <f t="shared" si="17"/>
        <v>80000</v>
      </c>
      <c r="AZ26" s="10" t="str">
        <f t="shared" si="18"/>
        <v>○</v>
      </c>
      <c r="BA26" s="8" t="str">
        <f t="shared" si="19"/>
        <v/>
      </c>
      <c r="BB26" s="10" t="str">
        <f t="shared" si="20"/>
        <v>△</v>
      </c>
      <c r="BC26" s="8" t="str">
        <f t="shared" si="21"/>
        <v/>
      </c>
      <c r="BD26" s="10" t="str">
        <f t="shared" si="22"/>
        <v>△</v>
      </c>
      <c r="BE26" s="8" t="str">
        <f t="shared" si="23"/>
        <v/>
      </c>
      <c r="BF26" s="10" t="str">
        <f t="shared" si="24"/>
        <v>△</v>
      </c>
      <c r="BG26" s="8">
        <f t="shared" si="25"/>
        <v>20000</v>
      </c>
      <c r="BH26" s="10" t="str">
        <f t="shared" si="26"/>
        <v>○</v>
      </c>
      <c r="BI26" s="8">
        <f t="shared" si="27"/>
        <v>200000</v>
      </c>
      <c r="BJ26" s="1" t="s">
        <v>977</v>
      </c>
      <c r="BK26" s="1" t="s">
        <v>1102</v>
      </c>
      <c r="BL26" s="1" t="s">
        <v>977</v>
      </c>
      <c r="BM26" s="1" t="s">
        <v>977</v>
      </c>
      <c r="BN26" s="1" t="s">
        <v>1102</v>
      </c>
      <c r="BO26" s="1" t="s">
        <v>1102</v>
      </c>
      <c r="BP26" s="1" t="s">
        <v>1103</v>
      </c>
      <c r="BQ26" s="1" t="s">
        <v>1103</v>
      </c>
      <c r="BR26" s="1" t="s">
        <v>1103</v>
      </c>
      <c r="BS26" s="1" t="s">
        <v>622</v>
      </c>
      <c r="BT26" s="1" t="s">
        <v>1103</v>
      </c>
    </row>
    <row r="27" spans="1:72" x14ac:dyDescent="0.3">
      <c r="A27">
        <v>26</v>
      </c>
      <c r="B27" t="s">
        <v>182</v>
      </c>
      <c r="C27" t="s">
        <v>636</v>
      </c>
      <c r="D27" t="s">
        <v>63</v>
      </c>
      <c r="E27" t="s">
        <v>794</v>
      </c>
      <c r="F27" t="s">
        <v>908</v>
      </c>
      <c r="G27" t="s">
        <v>909</v>
      </c>
      <c r="H27">
        <v>2</v>
      </c>
      <c r="I27" s="8"/>
      <c r="J27" s="8"/>
      <c r="K27" s="39">
        <v>8.3333333333333329E-2</v>
      </c>
      <c r="L27" s="8">
        <v>4</v>
      </c>
      <c r="M27" s="8">
        <v>15000</v>
      </c>
      <c r="N27" s="8"/>
      <c r="O27" s="8"/>
      <c r="P27" s="8">
        <f t="shared" si="0"/>
        <v>5000</v>
      </c>
      <c r="Q27" s="8">
        <v>2</v>
      </c>
      <c r="R27" s="8"/>
      <c r="S27" s="8"/>
      <c r="T27" s="39">
        <v>8.3333333333333329E-2</v>
      </c>
      <c r="U27" s="8">
        <v>12</v>
      </c>
      <c r="V27" s="8">
        <v>30000</v>
      </c>
      <c r="W27" s="8"/>
      <c r="X27" s="8"/>
      <c r="Y27" s="8">
        <f t="shared" si="28"/>
        <v>30000</v>
      </c>
      <c r="Z27" s="8">
        <v>2</v>
      </c>
      <c r="AA27" s="8"/>
      <c r="AB27" s="8"/>
      <c r="AC27" s="39">
        <v>8.3333333333333329E-2</v>
      </c>
      <c r="AD27" s="8">
        <v>12</v>
      </c>
      <c r="AE27" s="8">
        <v>10000</v>
      </c>
      <c r="AF27" s="8"/>
      <c r="AG27" s="8"/>
      <c r="AH27" s="8">
        <f t="shared" si="29"/>
        <v>10000</v>
      </c>
      <c r="AI27" s="8">
        <f t="shared" si="1"/>
        <v>5000</v>
      </c>
      <c r="AJ27" s="10" t="str">
        <f t="shared" si="2"/>
        <v>○</v>
      </c>
      <c r="AK27" s="8">
        <f t="shared" si="3"/>
        <v>30000</v>
      </c>
      <c r="AL27" s="10" t="str">
        <f t="shared" si="4"/>
        <v>○</v>
      </c>
      <c r="AM27" s="8">
        <f t="shared" si="5"/>
        <v>10000</v>
      </c>
      <c r="AN27" s="10" t="str">
        <f t="shared" si="6"/>
        <v>○</v>
      </c>
      <c r="AO27" s="8">
        <f t="shared" si="7"/>
        <v>5000</v>
      </c>
      <c r="AP27" s="10" t="str">
        <f t="shared" si="8"/>
        <v>○</v>
      </c>
      <c r="AQ27" s="8">
        <f t="shared" si="9"/>
        <v>30000</v>
      </c>
      <c r="AR27" s="10" t="str">
        <f t="shared" si="10"/>
        <v>○</v>
      </c>
      <c r="AS27" s="8">
        <f t="shared" si="11"/>
        <v>10000</v>
      </c>
      <c r="AT27" s="10" t="str">
        <f t="shared" si="12"/>
        <v>○</v>
      </c>
      <c r="AU27" s="8">
        <f t="shared" si="13"/>
        <v>5000</v>
      </c>
      <c r="AV27" s="10" t="str">
        <f t="shared" si="14"/>
        <v>○</v>
      </c>
      <c r="AW27" s="8">
        <f t="shared" si="15"/>
        <v>30000</v>
      </c>
      <c r="AX27" s="10" t="str">
        <f t="shared" si="16"/>
        <v>○</v>
      </c>
      <c r="AY27" s="8">
        <f t="shared" si="17"/>
        <v>10000</v>
      </c>
      <c r="AZ27" s="10" t="str">
        <f t="shared" si="18"/>
        <v>○</v>
      </c>
      <c r="BA27" s="8" t="str">
        <f t="shared" si="19"/>
        <v/>
      </c>
      <c r="BB27" s="10" t="str">
        <f t="shared" si="20"/>
        <v>△</v>
      </c>
      <c r="BC27" s="8" t="str">
        <f t="shared" si="21"/>
        <v/>
      </c>
      <c r="BD27" s="10" t="str">
        <f t="shared" si="22"/>
        <v>△</v>
      </c>
      <c r="BE27" s="8" t="str">
        <f t="shared" si="23"/>
        <v/>
      </c>
      <c r="BF27" s="10" t="str">
        <f t="shared" si="24"/>
        <v>△</v>
      </c>
      <c r="BG27" s="8">
        <f t="shared" si="25"/>
        <v>5000</v>
      </c>
      <c r="BH27" s="10" t="str">
        <f t="shared" si="26"/>
        <v>○</v>
      </c>
      <c r="BI27" s="8">
        <f t="shared" si="27"/>
        <v>30000</v>
      </c>
      <c r="BJ27" s="1" t="s">
        <v>977</v>
      </c>
      <c r="BK27" s="1" t="s">
        <v>1102</v>
      </c>
      <c r="BL27" s="1" t="s">
        <v>977</v>
      </c>
      <c r="BM27" s="1" t="s">
        <v>977</v>
      </c>
      <c r="BN27" s="1" t="s">
        <v>1102</v>
      </c>
      <c r="BO27" s="1" t="s">
        <v>1102</v>
      </c>
      <c r="BP27" s="1" t="s">
        <v>1103</v>
      </c>
      <c r="BQ27" s="1" t="s">
        <v>1103</v>
      </c>
      <c r="BR27" s="1" t="s">
        <v>1103</v>
      </c>
      <c r="BS27" s="1" t="s">
        <v>622</v>
      </c>
      <c r="BT27" s="1" t="s">
        <v>1103</v>
      </c>
    </row>
    <row r="28" spans="1:72" x14ac:dyDescent="0.3">
      <c r="A28">
        <v>27</v>
      </c>
      <c r="B28" t="s">
        <v>187</v>
      </c>
      <c r="C28" t="s">
        <v>637</v>
      </c>
      <c r="D28" t="s">
        <v>91</v>
      </c>
      <c r="E28" t="s">
        <v>826</v>
      </c>
      <c r="F28" t="s">
        <v>492</v>
      </c>
      <c r="G28" t="s">
        <v>493</v>
      </c>
      <c r="H28">
        <v>1</v>
      </c>
      <c r="I28" s="8">
        <v>6000</v>
      </c>
      <c r="J28" s="8">
        <v>0.5</v>
      </c>
      <c r="K28" s="39"/>
      <c r="L28" s="8"/>
      <c r="M28" s="8"/>
      <c r="N28" s="8"/>
      <c r="O28" s="8"/>
      <c r="P28" s="8">
        <f t="shared" si="0"/>
        <v>1000</v>
      </c>
      <c r="Q28" s="8">
        <v>1</v>
      </c>
      <c r="R28" s="8"/>
      <c r="S28" s="8"/>
      <c r="T28" s="39">
        <v>8.3333333333333329E-2</v>
      </c>
      <c r="U28" s="8">
        <v>12</v>
      </c>
      <c r="V28" s="8">
        <v>20000</v>
      </c>
      <c r="W28" s="8"/>
      <c r="X28" s="8"/>
      <c r="Y28" s="8" t="str">
        <f t="shared" si="28"/>
        <v/>
      </c>
      <c r="Z28" s="8">
        <v>3</v>
      </c>
      <c r="AA28" s="8"/>
      <c r="AB28" s="8"/>
      <c r="AC28" s="39"/>
      <c r="AD28" s="8"/>
      <c r="AE28" s="8"/>
      <c r="AF28" s="8">
        <v>2000</v>
      </c>
      <c r="AG28" s="8">
        <v>0.25</v>
      </c>
      <c r="AH28" s="8">
        <f t="shared" si="29"/>
        <v>666.66666666666663</v>
      </c>
      <c r="AI28" s="8">
        <f t="shared" si="1"/>
        <v>1000</v>
      </c>
      <c r="AJ28" s="10" t="str">
        <f t="shared" si="2"/>
        <v>○</v>
      </c>
      <c r="AK28" s="8" t="str">
        <f t="shared" si="3"/>
        <v/>
      </c>
      <c r="AL28" s="10" t="str">
        <f t="shared" si="4"/>
        <v>○</v>
      </c>
      <c r="AM28" s="8">
        <f t="shared" si="5"/>
        <v>666.66666666666663</v>
      </c>
      <c r="AN28" s="10" t="str">
        <f t="shared" si="6"/>
        <v>○</v>
      </c>
      <c r="AO28" s="8" t="str">
        <f t="shared" si="7"/>
        <v/>
      </c>
      <c r="AP28" s="10" t="str">
        <f t="shared" si="8"/>
        <v>X</v>
      </c>
      <c r="AQ28" s="8" t="str">
        <f t="shared" si="9"/>
        <v/>
      </c>
      <c r="AR28" s="10" t="str">
        <f t="shared" si="10"/>
        <v>X</v>
      </c>
      <c r="AS28" s="8" t="str">
        <f t="shared" si="11"/>
        <v/>
      </c>
      <c r="AT28" s="10" t="str">
        <f t="shared" si="12"/>
        <v>X</v>
      </c>
      <c r="AU28" s="8">
        <f t="shared" si="13"/>
        <v>1000</v>
      </c>
      <c r="AV28" s="10" t="str">
        <f t="shared" si="14"/>
        <v>○</v>
      </c>
      <c r="AW28" s="8" t="str">
        <f t="shared" si="15"/>
        <v/>
      </c>
      <c r="AX28" s="10" t="str">
        <f t="shared" si="16"/>
        <v>○</v>
      </c>
      <c r="AY28" s="8">
        <f t="shared" si="17"/>
        <v>666.66666666666663</v>
      </c>
      <c r="AZ28" s="10" t="str">
        <f t="shared" si="18"/>
        <v>○</v>
      </c>
      <c r="BA28" s="8">
        <f t="shared" si="19"/>
        <v>1000</v>
      </c>
      <c r="BB28" s="10" t="str">
        <f t="shared" si="20"/>
        <v>○</v>
      </c>
      <c r="BC28" s="8" t="str">
        <f t="shared" si="21"/>
        <v/>
      </c>
      <c r="BD28" s="10" t="str">
        <f t="shared" si="22"/>
        <v>○</v>
      </c>
      <c r="BE28" s="8">
        <f t="shared" si="23"/>
        <v>666.66666666666663</v>
      </c>
      <c r="BF28" s="10" t="str">
        <f t="shared" si="24"/>
        <v>○</v>
      </c>
      <c r="BG28" s="8">
        <f t="shared" si="25"/>
        <v>1000</v>
      </c>
      <c r="BH28" s="10" t="str">
        <f t="shared" si="26"/>
        <v>○</v>
      </c>
      <c r="BI28" s="8" t="str">
        <f t="shared" si="27"/>
        <v/>
      </c>
      <c r="BJ28" s="1" t="s">
        <v>977</v>
      </c>
      <c r="BK28" s="1" t="s">
        <v>1102</v>
      </c>
      <c r="BL28" s="1" t="s">
        <v>977</v>
      </c>
      <c r="BM28" s="1" t="s">
        <v>977</v>
      </c>
      <c r="BN28" s="1" t="s">
        <v>977</v>
      </c>
      <c r="BO28" s="1" t="s">
        <v>1102</v>
      </c>
      <c r="BP28" s="1" t="s">
        <v>1103</v>
      </c>
      <c r="BQ28" s="1" t="s">
        <v>657</v>
      </c>
      <c r="BR28" s="1" t="s">
        <v>1103</v>
      </c>
      <c r="BS28" s="1" t="s">
        <v>1103</v>
      </c>
      <c r="BT28" s="1" t="s">
        <v>1103</v>
      </c>
    </row>
    <row r="29" spans="1:72" x14ac:dyDescent="0.3">
      <c r="A29">
        <v>28</v>
      </c>
      <c r="B29" t="s">
        <v>187</v>
      </c>
      <c r="C29" t="s">
        <v>639</v>
      </c>
      <c r="D29" t="s">
        <v>63</v>
      </c>
      <c r="E29" t="s">
        <v>1065</v>
      </c>
      <c r="F29" t="s">
        <v>1066</v>
      </c>
      <c r="G29" t="s">
        <v>495</v>
      </c>
      <c r="H29">
        <v>1</v>
      </c>
      <c r="I29" s="8">
        <f>4*50000</f>
        <v>200000</v>
      </c>
      <c r="J29" s="8">
        <v>4</v>
      </c>
      <c r="K29" s="39"/>
      <c r="L29" s="8"/>
      <c r="M29" s="8"/>
      <c r="N29" s="8"/>
      <c r="O29" s="8"/>
      <c r="P29" s="8">
        <f t="shared" si="0"/>
        <v>4166.666666666667</v>
      </c>
      <c r="Q29" s="8">
        <v>1</v>
      </c>
      <c r="R29" s="8"/>
      <c r="S29" s="8"/>
      <c r="T29" s="39">
        <v>8.3333333333333329E-2</v>
      </c>
      <c r="U29" s="8">
        <v>6</v>
      </c>
      <c r="V29" s="8">
        <v>200000</v>
      </c>
      <c r="W29" s="8"/>
      <c r="X29" s="8"/>
      <c r="Y29" s="8" t="str">
        <f t="shared" si="28"/>
        <v/>
      </c>
      <c r="Z29" s="8">
        <v>1</v>
      </c>
      <c r="AA29" s="8">
        <v>20000</v>
      </c>
      <c r="AB29" s="8">
        <v>0.5</v>
      </c>
      <c r="AC29" s="39"/>
      <c r="AD29" s="8"/>
      <c r="AE29" s="8"/>
      <c r="AF29" s="8"/>
      <c r="AG29" s="8"/>
      <c r="AH29" s="8">
        <f t="shared" si="29"/>
        <v>3333.3333333333335</v>
      </c>
      <c r="AI29" s="8">
        <f t="shared" si="1"/>
        <v>4166.666666666667</v>
      </c>
      <c r="AJ29" s="10" t="str">
        <f t="shared" si="2"/>
        <v>○</v>
      </c>
      <c r="AK29" s="8" t="str">
        <f t="shared" si="3"/>
        <v/>
      </c>
      <c r="AL29" s="10" t="str">
        <f t="shared" si="4"/>
        <v>○</v>
      </c>
      <c r="AM29" s="8">
        <f t="shared" si="5"/>
        <v>3333.3333333333335</v>
      </c>
      <c r="AN29" s="10" t="str">
        <f t="shared" si="6"/>
        <v>○</v>
      </c>
      <c r="AO29" s="8">
        <f t="shared" si="7"/>
        <v>4166.666666666667</v>
      </c>
      <c r="AP29" s="10" t="str">
        <f t="shared" si="8"/>
        <v>○</v>
      </c>
      <c r="AQ29" s="8" t="str">
        <f t="shared" si="9"/>
        <v/>
      </c>
      <c r="AR29" s="10" t="str">
        <f t="shared" si="10"/>
        <v>○</v>
      </c>
      <c r="AS29" s="8">
        <f t="shared" si="11"/>
        <v>3333.3333333333335</v>
      </c>
      <c r="AT29" s="10" t="str">
        <f t="shared" si="12"/>
        <v>○</v>
      </c>
      <c r="AU29" s="8">
        <f t="shared" si="13"/>
        <v>4166.666666666667</v>
      </c>
      <c r="AV29" s="10" t="str">
        <f t="shared" si="14"/>
        <v>○</v>
      </c>
      <c r="AW29" s="8" t="str">
        <f t="shared" si="15"/>
        <v/>
      </c>
      <c r="AX29" s="10" t="str">
        <f t="shared" si="16"/>
        <v>○</v>
      </c>
      <c r="AY29" s="8">
        <f t="shared" si="17"/>
        <v>3333.3333333333335</v>
      </c>
      <c r="AZ29" s="10" t="str">
        <f t="shared" si="18"/>
        <v>○</v>
      </c>
      <c r="BA29" s="8">
        <f t="shared" si="19"/>
        <v>4166.666666666667</v>
      </c>
      <c r="BB29" s="10" t="str">
        <f t="shared" si="20"/>
        <v>○</v>
      </c>
      <c r="BC29" s="8" t="str">
        <f t="shared" si="21"/>
        <v/>
      </c>
      <c r="BD29" s="10" t="str">
        <f t="shared" si="22"/>
        <v>○</v>
      </c>
      <c r="BE29" s="8">
        <f t="shared" si="23"/>
        <v>3333.3333333333335</v>
      </c>
      <c r="BF29" s="10" t="str">
        <f t="shared" si="24"/>
        <v>○</v>
      </c>
      <c r="BG29" s="8">
        <f t="shared" si="25"/>
        <v>4166.666666666667</v>
      </c>
      <c r="BH29" s="10" t="str">
        <f t="shared" si="26"/>
        <v>○</v>
      </c>
      <c r="BI29" s="8" t="str">
        <f t="shared" si="27"/>
        <v/>
      </c>
      <c r="BJ29" s="1" t="s">
        <v>977</v>
      </c>
      <c r="BK29" s="1" t="s">
        <v>1102</v>
      </c>
      <c r="BL29" s="1" t="s">
        <v>977</v>
      </c>
      <c r="BM29" s="1" t="s">
        <v>977</v>
      </c>
      <c r="BN29" s="1" t="s">
        <v>977</v>
      </c>
      <c r="BO29" s="1" t="s">
        <v>1102</v>
      </c>
      <c r="BP29" s="1" t="s">
        <v>1103</v>
      </c>
      <c r="BQ29" s="1" t="s">
        <v>1103</v>
      </c>
      <c r="BR29" s="1" t="s">
        <v>1103</v>
      </c>
      <c r="BS29" s="1" t="s">
        <v>1103</v>
      </c>
      <c r="BT29" s="1" t="s">
        <v>1103</v>
      </c>
    </row>
    <row r="30" spans="1:72" x14ac:dyDescent="0.3">
      <c r="A30">
        <v>29</v>
      </c>
      <c r="B30" t="s">
        <v>187</v>
      </c>
      <c r="C30" t="s">
        <v>642</v>
      </c>
      <c r="D30" t="s">
        <v>123</v>
      </c>
      <c r="E30" t="s">
        <v>746</v>
      </c>
      <c r="F30" t="s">
        <v>510</v>
      </c>
      <c r="G30" t="s">
        <v>892</v>
      </c>
      <c r="H30">
        <v>5</v>
      </c>
      <c r="I30" s="8">
        <v>150000</v>
      </c>
      <c r="J30" s="8">
        <v>6</v>
      </c>
      <c r="K30" s="39"/>
      <c r="L30" s="8"/>
      <c r="M30" s="8"/>
      <c r="N30" s="8">
        <v>30000</v>
      </c>
      <c r="O30" s="8">
        <v>2</v>
      </c>
      <c r="P30" s="8">
        <f t="shared" si="0"/>
        <v>3333.3333333333335</v>
      </c>
      <c r="Q30" s="8">
        <v>3</v>
      </c>
      <c r="R30" s="8">
        <v>200000</v>
      </c>
      <c r="S30" s="8">
        <v>1</v>
      </c>
      <c r="T30" s="39"/>
      <c r="U30" s="8"/>
      <c r="V30" s="8"/>
      <c r="W30" s="8"/>
      <c r="X30" s="8"/>
      <c r="Y30" s="8" t="str">
        <f t="shared" si="28"/>
        <v/>
      </c>
      <c r="Z30" s="8">
        <v>5</v>
      </c>
      <c r="AA30" s="8">
        <v>150000</v>
      </c>
      <c r="AB30" s="8">
        <v>3</v>
      </c>
      <c r="AC30" s="39"/>
      <c r="AD30" s="8"/>
      <c r="AE30" s="8"/>
      <c r="AF30" s="8">
        <v>25000</v>
      </c>
      <c r="AG30" s="8">
        <v>1</v>
      </c>
      <c r="AH30" s="8">
        <f t="shared" si="29"/>
        <v>6250</v>
      </c>
      <c r="AI30" s="8">
        <f t="shared" si="1"/>
        <v>3333.3333333333335</v>
      </c>
      <c r="AJ30" s="10" t="str">
        <f t="shared" si="2"/>
        <v>○</v>
      </c>
      <c r="AK30" s="8" t="str">
        <f t="shared" si="3"/>
        <v/>
      </c>
      <c r="AL30" s="10" t="str">
        <f t="shared" si="4"/>
        <v>○</v>
      </c>
      <c r="AM30" s="8">
        <f t="shared" si="5"/>
        <v>6250</v>
      </c>
      <c r="AN30" s="10" t="str">
        <f t="shared" si="6"/>
        <v>○</v>
      </c>
      <c r="AO30" s="8">
        <f t="shared" si="7"/>
        <v>3333.3333333333335</v>
      </c>
      <c r="AP30" s="10" t="str">
        <f t="shared" si="8"/>
        <v>○</v>
      </c>
      <c r="AQ30" s="8" t="str">
        <f t="shared" si="9"/>
        <v/>
      </c>
      <c r="AR30" s="10" t="str">
        <f t="shared" si="10"/>
        <v>○</v>
      </c>
      <c r="AS30" s="8">
        <f t="shared" si="11"/>
        <v>6250</v>
      </c>
      <c r="AT30" s="10" t="str">
        <f t="shared" si="12"/>
        <v>○</v>
      </c>
      <c r="AU30" s="8">
        <f t="shared" si="13"/>
        <v>3333.3333333333335</v>
      </c>
      <c r="AV30" s="10" t="str">
        <f t="shared" si="14"/>
        <v>○</v>
      </c>
      <c r="AW30" s="8" t="str">
        <f t="shared" si="15"/>
        <v/>
      </c>
      <c r="AX30" s="10" t="str">
        <f t="shared" si="16"/>
        <v>○</v>
      </c>
      <c r="AY30" s="8">
        <f t="shared" si="17"/>
        <v>6250</v>
      </c>
      <c r="AZ30" s="10" t="str">
        <f t="shared" si="18"/>
        <v>○</v>
      </c>
      <c r="BA30" s="8">
        <f t="shared" si="19"/>
        <v>3333.3333333333335</v>
      </c>
      <c r="BB30" s="10" t="str">
        <f t="shared" si="20"/>
        <v>○</v>
      </c>
      <c r="BC30" s="8" t="str">
        <f t="shared" si="21"/>
        <v/>
      </c>
      <c r="BD30" s="10" t="str">
        <f t="shared" si="22"/>
        <v>○</v>
      </c>
      <c r="BE30" s="8">
        <f t="shared" si="23"/>
        <v>6250</v>
      </c>
      <c r="BF30" s="10" t="str">
        <f t="shared" si="24"/>
        <v>○</v>
      </c>
      <c r="BG30" s="8">
        <f t="shared" si="25"/>
        <v>3333.3333333333335</v>
      </c>
      <c r="BH30" s="10" t="str">
        <f t="shared" si="26"/>
        <v>○</v>
      </c>
      <c r="BI30" s="8" t="str">
        <f t="shared" si="27"/>
        <v/>
      </c>
      <c r="BJ30" s="1" t="s">
        <v>977</v>
      </c>
      <c r="BK30" s="1" t="s">
        <v>1102</v>
      </c>
      <c r="BL30" s="1" t="s">
        <v>977</v>
      </c>
      <c r="BM30" s="1" t="s">
        <v>977</v>
      </c>
      <c r="BN30" s="1" t="s">
        <v>1102</v>
      </c>
      <c r="BO30" s="1" t="s">
        <v>1102</v>
      </c>
      <c r="BP30" s="1" t="s">
        <v>1103</v>
      </c>
      <c r="BQ30" s="1" t="s">
        <v>1103</v>
      </c>
      <c r="BR30" s="1" t="s">
        <v>1103</v>
      </c>
      <c r="BS30" s="1" t="s">
        <v>1103</v>
      </c>
      <c r="BT30" s="1" t="s">
        <v>1103</v>
      </c>
    </row>
    <row r="31" spans="1:72" x14ac:dyDescent="0.3">
      <c r="A31">
        <v>30</v>
      </c>
      <c r="B31" t="s">
        <v>187</v>
      </c>
      <c r="C31" t="s">
        <v>1067</v>
      </c>
      <c r="D31" t="s">
        <v>123</v>
      </c>
      <c r="E31" t="s">
        <v>747</v>
      </c>
      <c r="F31" t="s">
        <v>295</v>
      </c>
      <c r="G31" t="s">
        <v>1068</v>
      </c>
      <c r="H31">
        <v>5</v>
      </c>
      <c r="I31" s="8">
        <v>500000</v>
      </c>
      <c r="J31" s="8">
        <v>10</v>
      </c>
      <c r="K31" s="39"/>
      <c r="L31" s="8"/>
      <c r="M31" s="8"/>
      <c r="N31" s="8">
        <v>20000</v>
      </c>
      <c r="O31" s="8">
        <v>5</v>
      </c>
      <c r="P31" s="8">
        <f t="shared" si="0"/>
        <v>4500</v>
      </c>
      <c r="Q31" s="8">
        <v>5</v>
      </c>
      <c r="R31" s="8">
        <v>500000</v>
      </c>
      <c r="S31" s="8">
        <v>2</v>
      </c>
      <c r="T31" s="39"/>
      <c r="U31" s="8"/>
      <c r="V31" s="8"/>
      <c r="W31" s="8"/>
      <c r="X31" s="8"/>
      <c r="Y31" s="8">
        <f t="shared" si="28"/>
        <v>20833.333333333332</v>
      </c>
      <c r="Z31" s="8">
        <v>1</v>
      </c>
      <c r="AA31" s="8">
        <v>100000</v>
      </c>
      <c r="AB31" s="8">
        <v>1</v>
      </c>
      <c r="AC31" s="39"/>
      <c r="AD31" s="8"/>
      <c r="AE31" s="8"/>
      <c r="AF31" s="8"/>
      <c r="AG31" s="8"/>
      <c r="AH31" s="8">
        <f t="shared" si="29"/>
        <v>8333.3333333333339</v>
      </c>
      <c r="AI31" s="8">
        <f t="shared" si="1"/>
        <v>4500</v>
      </c>
      <c r="AJ31" s="10" t="str">
        <f t="shared" si="2"/>
        <v>○</v>
      </c>
      <c r="AK31" s="8">
        <f t="shared" si="3"/>
        <v>20833.333333333332</v>
      </c>
      <c r="AL31" s="10" t="str">
        <f t="shared" si="4"/>
        <v>○</v>
      </c>
      <c r="AM31" s="8">
        <f t="shared" si="5"/>
        <v>8333.3333333333339</v>
      </c>
      <c r="AN31" s="10" t="str">
        <f t="shared" si="6"/>
        <v>○</v>
      </c>
      <c r="AO31" s="8">
        <f t="shared" si="7"/>
        <v>4500</v>
      </c>
      <c r="AP31" s="10" t="str">
        <f t="shared" si="8"/>
        <v>○</v>
      </c>
      <c r="AQ31" s="8">
        <f t="shared" si="9"/>
        <v>20833.333333333332</v>
      </c>
      <c r="AR31" s="10" t="str">
        <f t="shared" si="10"/>
        <v>○</v>
      </c>
      <c r="AS31" s="8">
        <f t="shared" si="11"/>
        <v>8333.3333333333339</v>
      </c>
      <c r="AT31" s="10" t="str">
        <f t="shared" si="12"/>
        <v>○</v>
      </c>
      <c r="AU31" s="8">
        <f t="shared" si="13"/>
        <v>4500</v>
      </c>
      <c r="AV31" s="10" t="str">
        <f t="shared" si="14"/>
        <v>○</v>
      </c>
      <c r="AW31" s="8">
        <f t="shared" si="15"/>
        <v>20833.333333333332</v>
      </c>
      <c r="AX31" s="10" t="str">
        <f t="shared" si="16"/>
        <v>○</v>
      </c>
      <c r="AY31" s="8">
        <f t="shared" si="17"/>
        <v>8333.3333333333339</v>
      </c>
      <c r="AZ31" s="10" t="str">
        <f t="shared" si="18"/>
        <v>○</v>
      </c>
      <c r="BA31" s="8">
        <f t="shared" si="19"/>
        <v>4500</v>
      </c>
      <c r="BB31" s="10" t="str">
        <f t="shared" si="20"/>
        <v>○</v>
      </c>
      <c r="BC31" s="8">
        <f t="shared" si="21"/>
        <v>20833.333333333332</v>
      </c>
      <c r="BD31" s="10" t="str">
        <f t="shared" si="22"/>
        <v>○</v>
      </c>
      <c r="BE31" s="8">
        <f t="shared" si="23"/>
        <v>8333.3333333333339</v>
      </c>
      <c r="BF31" s="10" t="str">
        <f t="shared" si="24"/>
        <v>○</v>
      </c>
      <c r="BG31" s="8">
        <f t="shared" si="25"/>
        <v>4500</v>
      </c>
      <c r="BH31" s="10" t="str">
        <f t="shared" si="26"/>
        <v>○</v>
      </c>
      <c r="BI31" s="8">
        <f t="shared" si="27"/>
        <v>20833.333333333332</v>
      </c>
      <c r="BJ31" s="1" t="s">
        <v>977</v>
      </c>
      <c r="BK31" s="1" t="s">
        <v>1102</v>
      </c>
      <c r="BL31" s="1" t="s">
        <v>977</v>
      </c>
      <c r="BM31" s="1" t="s">
        <v>977</v>
      </c>
      <c r="BN31" s="1" t="s">
        <v>1102</v>
      </c>
      <c r="BO31" s="1" t="s">
        <v>1102</v>
      </c>
      <c r="BP31" s="1" t="s">
        <v>1103</v>
      </c>
      <c r="BQ31" s="1" t="s">
        <v>1103</v>
      </c>
      <c r="BR31" s="1" t="s">
        <v>1103</v>
      </c>
      <c r="BS31" s="1" t="s">
        <v>1103</v>
      </c>
      <c r="BT31" s="1" t="s">
        <v>1103</v>
      </c>
    </row>
    <row r="32" spans="1:72" x14ac:dyDescent="0.3">
      <c r="A32">
        <v>31</v>
      </c>
      <c r="B32" t="s">
        <v>187</v>
      </c>
      <c r="C32" t="s">
        <v>645</v>
      </c>
      <c r="D32" t="s">
        <v>104</v>
      </c>
      <c r="E32" t="s">
        <v>647</v>
      </c>
      <c r="F32" t="s">
        <v>525</v>
      </c>
      <c r="G32" t="s">
        <v>526</v>
      </c>
      <c r="H32">
        <v>3</v>
      </c>
      <c r="I32" s="8"/>
      <c r="J32" s="8"/>
      <c r="K32" s="39"/>
      <c r="L32" s="8"/>
      <c r="M32" s="8"/>
      <c r="N32" s="8">
        <v>100000</v>
      </c>
      <c r="O32" s="8">
        <v>3</v>
      </c>
      <c r="P32" s="8">
        <f t="shared" si="0"/>
        <v>2777.7777777777778</v>
      </c>
      <c r="Q32" s="8">
        <v>3</v>
      </c>
      <c r="R32" s="8"/>
      <c r="S32" s="8"/>
      <c r="T32" s="39"/>
      <c r="U32" s="8"/>
      <c r="V32" s="8"/>
      <c r="W32" s="8">
        <v>20000</v>
      </c>
      <c r="X32" s="8">
        <v>1</v>
      </c>
      <c r="Y32" s="8">
        <f t="shared" si="28"/>
        <v>1666.6666666666667</v>
      </c>
      <c r="Z32" s="8">
        <v>3</v>
      </c>
      <c r="AA32" s="8"/>
      <c r="AB32" s="8"/>
      <c r="AC32" s="39"/>
      <c r="AD32" s="8"/>
      <c r="AE32" s="8"/>
      <c r="AF32" s="8">
        <v>20000</v>
      </c>
      <c r="AG32" s="8">
        <v>1</v>
      </c>
      <c r="AH32" s="8">
        <f t="shared" si="29"/>
        <v>1666.6666666666667</v>
      </c>
      <c r="AI32" s="8">
        <f t="shared" si="1"/>
        <v>2777.7777777777778</v>
      </c>
      <c r="AJ32" s="10" t="str">
        <f t="shared" si="2"/>
        <v>○</v>
      </c>
      <c r="AK32" s="8">
        <f t="shared" si="3"/>
        <v>1666.6666666666667</v>
      </c>
      <c r="AL32" s="10" t="str">
        <f t="shared" si="4"/>
        <v>○</v>
      </c>
      <c r="AM32" s="8">
        <f t="shared" si="5"/>
        <v>1666.6666666666667</v>
      </c>
      <c r="AN32" s="10" t="str">
        <f t="shared" si="6"/>
        <v>○</v>
      </c>
      <c r="AO32" s="8">
        <f t="shared" si="7"/>
        <v>2777.7777777777778</v>
      </c>
      <c r="AP32" s="10" t="str">
        <f t="shared" si="8"/>
        <v>○</v>
      </c>
      <c r="AQ32" s="8">
        <f t="shared" si="9"/>
        <v>1666.6666666666667</v>
      </c>
      <c r="AR32" s="10" t="str">
        <f t="shared" si="10"/>
        <v>○</v>
      </c>
      <c r="AS32" s="8">
        <f t="shared" si="11"/>
        <v>1666.6666666666667</v>
      </c>
      <c r="AT32" s="10" t="str">
        <f t="shared" si="12"/>
        <v>○</v>
      </c>
      <c r="AU32" s="8">
        <f t="shared" si="13"/>
        <v>2777.7777777777778</v>
      </c>
      <c r="AV32" s="10" t="str">
        <f t="shared" si="14"/>
        <v>○</v>
      </c>
      <c r="AW32" s="8">
        <f t="shared" si="15"/>
        <v>1666.6666666666667</v>
      </c>
      <c r="AX32" s="10" t="str">
        <f t="shared" si="16"/>
        <v>○</v>
      </c>
      <c r="AY32" s="8">
        <f t="shared" si="17"/>
        <v>1666.6666666666667</v>
      </c>
      <c r="AZ32" s="10" t="str">
        <f t="shared" si="18"/>
        <v>○</v>
      </c>
      <c r="BA32" s="8">
        <f t="shared" si="19"/>
        <v>2777.7777777777778</v>
      </c>
      <c r="BB32" s="10" t="str">
        <f t="shared" si="20"/>
        <v>○</v>
      </c>
      <c r="BC32" s="8">
        <f t="shared" si="21"/>
        <v>1666.6666666666667</v>
      </c>
      <c r="BD32" s="10" t="str">
        <f t="shared" si="22"/>
        <v>○</v>
      </c>
      <c r="BE32" s="8">
        <f t="shared" si="23"/>
        <v>1666.6666666666667</v>
      </c>
      <c r="BF32" s="10" t="str">
        <f t="shared" si="24"/>
        <v>○</v>
      </c>
      <c r="BG32" s="8">
        <f t="shared" si="25"/>
        <v>2777.7777777777778</v>
      </c>
      <c r="BH32" s="10" t="str">
        <f t="shared" si="26"/>
        <v>○</v>
      </c>
      <c r="BI32" s="8">
        <f t="shared" si="27"/>
        <v>1666.6666666666667</v>
      </c>
      <c r="BJ32" s="1" t="s">
        <v>977</v>
      </c>
      <c r="BK32" s="1" t="s">
        <v>1102</v>
      </c>
      <c r="BL32" s="1" t="s">
        <v>977</v>
      </c>
      <c r="BM32" s="1" t="s">
        <v>977</v>
      </c>
      <c r="BN32" s="1" t="s">
        <v>1102</v>
      </c>
      <c r="BO32" s="1" t="s">
        <v>1102</v>
      </c>
      <c r="BP32" s="1" t="s">
        <v>1103</v>
      </c>
      <c r="BQ32" s="1" t="s">
        <v>1103</v>
      </c>
      <c r="BR32" s="1" t="s">
        <v>1103</v>
      </c>
      <c r="BS32" s="1" t="s">
        <v>1103</v>
      </c>
      <c r="BT32" s="1" t="s">
        <v>1103</v>
      </c>
    </row>
    <row r="33" spans="1:72" x14ac:dyDescent="0.3">
      <c r="A33">
        <v>32</v>
      </c>
      <c r="B33" t="s">
        <v>187</v>
      </c>
      <c r="C33" t="s">
        <v>648</v>
      </c>
      <c r="D33" t="s">
        <v>63</v>
      </c>
      <c r="E33" t="s">
        <v>749</v>
      </c>
      <c r="F33" t="s">
        <v>910</v>
      </c>
      <c r="G33" t="s">
        <v>911</v>
      </c>
      <c r="H33">
        <v>5</v>
      </c>
      <c r="I33" s="8">
        <v>10000</v>
      </c>
      <c r="J33" s="8">
        <v>5</v>
      </c>
      <c r="K33" s="39"/>
      <c r="L33" s="8"/>
      <c r="M33" s="8"/>
      <c r="N33" s="8">
        <v>100000</v>
      </c>
      <c r="O33" s="8">
        <v>5</v>
      </c>
      <c r="P33" s="8">
        <f t="shared" si="0"/>
        <v>1833.3333333333335</v>
      </c>
      <c r="Q33" s="8">
        <v>5</v>
      </c>
      <c r="R33" s="8">
        <v>50000</v>
      </c>
      <c r="S33" s="8">
        <v>2</v>
      </c>
      <c r="T33" s="39"/>
      <c r="U33" s="8"/>
      <c r="V33" s="8"/>
      <c r="W33" s="8">
        <v>40000</v>
      </c>
      <c r="X33" s="8">
        <v>0.5</v>
      </c>
      <c r="Y33" s="8">
        <f t="shared" si="28"/>
        <v>8750</v>
      </c>
      <c r="Z33" s="8">
        <v>5</v>
      </c>
      <c r="AA33" s="8"/>
      <c r="AB33" s="8"/>
      <c r="AC33" s="39">
        <v>8.3333333333333329E-2</v>
      </c>
      <c r="AD33" s="8">
        <v>3</v>
      </c>
      <c r="AE33" s="8">
        <v>60000</v>
      </c>
      <c r="AF33" s="8">
        <v>1000</v>
      </c>
      <c r="AG33" s="8">
        <v>0.25</v>
      </c>
      <c r="AH33" s="8">
        <f t="shared" si="29"/>
        <v>333.33333333333331</v>
      </c>
      <c r="AI33" s="8">
        <f t="shared" si="1"/>
        <v>1833.3333333333335</v>
      </c>
      <c r="AJ33" s="10" t="str">
        <f t="shared" si="2"/>
        <v>○</v>
      </c>
      <c r="AK33" s="8">
        <f t="shared" si="3"/>
        <v>8750</v>
      </c>
      <c r="AL33" s="10" t="str">
        <f t="shared" si="4"/>
        <v>○</v>
      </c>
      <c r="AM33" s="8">
        <f t="shared" si="5"/>
        <v>333.33333333333331</v>
      </c>
      <c r="AN33" s="10" t="str">
        <f t="shared" si="6"/>
        <v>○</v>
      </c>
      <c r="AO33" s="8" t="str">
        <f t="shared" si="7"/>
        <v/>
      </c>
      <c r="AP33" s="10" t="str">
        <f t="shared" si="8"/>
        <v>X</v>
      </c>
      <c r="AQ33" s="8" t="str">
        <f t="shared" si="9"/>
        <v/>
      </c>
      <c r="AR33" s="10" t="str">
        <f t="shared" si="10"/>
        <v>X</v>
      </c>
      <c r="AS33" s="8" t="str">
        <f t="shared" si="11"/>
        <v/>
      </c>
      <c r="AT33" s="10" t="str">
        <f t="shared" si="12"/>
        <v>X</v>
      </c>
      <c r="AU33" s="8">
        <f t="shared" si="13"/>
        <v>1833.3333333333335</v>
      </c>
      <c r="AV33" s="10" t="str">
        <f t="shared" si="14"/>
        <v>○</v>
      </c>
      <c r="AW33" s="8">
        <f t="shared" si="15"/>
        <v>8750</v>
      </c>
      <c r="AX33" s="10" t="str">
        <f t="shared" si="16"/>
        <v>○</v>
      </c>
      <c r="AY33" s="8">
        <f t="shared" si="17"/>
        <v>333.33333333333331</v>
      </c>
      <c r="AZ33" s="10" t="str">
        <f t="shared" si="18"/>
        <v>○</v>
      </c>
      <c r="BA33" s="8">
        <f t="shared" si="19"/>
        <v>1833.3333333333335</v>
      </c>
      <c r="BB33" s="10" t="str">
        <f t="shared" si="20"/>
        <v>○</v>
      </c>
      <c r="BC33" s="8">
        <f t="shared" si="21"/>
        <v>8750</v>
      </c>
      <c r="BD33" s="10" t="str">
        <f t="shared" si="22"/>
        <v>○</v>
      </c>
      <c r="BE33" s="8">
        <f t="shared" si="23"/>
        <v>333.33333333333331</v>
      </c>
      <c r="BF33" s="10" t="str">
        <f t="shared" si="24"/>
        <v>○</v>
      </c>
      <c r="BG33" s="8">
        <f t="shared" si="25"/>
        <v>1833.3333333333335</v>
      </c>
      <c r="BH33" s="10" t="str">
        <f t="shared" si="26"/>
        <v>○</v>
      </c>
      <c r="BI33" s="8">
        <f t="shared" si="27"/>
        <v>8750</v>
      </c>
      <c r="BJ33" s="1" t="s">
        <v>977</v>
      </c>
      <c r="BK33" s="1" t="s">
        <v>1102</v>
      </c>
      <c r="BL33" s="1" t="s">
        <v>977</v>
      </c>
      <c r="BM33" s="1" t="s">
        <v>977</v>
      </c>
      <c r="BN33" s="1" t="s">
        <v>977</v>
      </c>
      <c r="BO33" s="1" t="s">
        <v>1102</v>
      </c>
      <c r="BP33" s="1" t="s">
        <v>1103</v>
      </c>
      <c r="BQ33" s="1" t="s">
        <v>657</v>
      </c>
      <c r="BR33" s="1" t="s">
        <v>1103</v>
      </c>
      <c r="BS33" s="1" t="s">
        <v>1103</v>
      </c>
      <c r="BT33" s="1" t="s">
        <v>1103</v>
      </c>
    </row>
    <row r="34" spans="1:72" x14ac:dyDescent="0.3">
      <c r="A34">
        <v>33</v>
      </c>
      <c r="B34" t="s">
        <v>187</v>
      </c>
      <c r="C34" t="s">
        <v>649</v>
      </c>
      <c r="D34" t="s">
        <v>63</v>
      </c>
      <c r="E34" t="s">
        <v>795</v>
      </c>
      <c r="F34" t="s">
        <v>958</v>
      </c>
      <c r="G34" t="s">
        <v>912</v>
      </c>
      <c r="H34">
        <v>3</v>
      </c>
      <c r="I34" s="8"/>
      <c r="J34" s="8"/>
      <c r="K34" s="39"/>
      <c r="L34" s="8"/>
      <c r="M34" s="8"/>
      <c r="N34" s="8">
        <f>5*10000</f>
        <v>50000</v>
      </c>
      <c r="O34" s="8">
        <v>1.5</v>
      </c>
      <c r="P34" s="8">
        <f t="shared" si="0"/>
        <v>2777.7777777777778</v>
      </c>
      <c r="Q34" s="8">
        <v>3</v>
      </c>
      <c r="R34" s="8"/>
      <c r="S34" s="8"/>
      <c r="T34" s="39"/>
      <c r="U34" s="8"/>
      <c r="V34" s="8"/>
      <c r="W34" s="8">
        <v>120000</v>
      </c>
      <c r="X34" s="8">
        <v>0.5</v>
      </c>
      <c r="Y34" s="8">
        <f t="shared" si="28"/>
        <v>20000</v>
      </c>
      <c r="Z34" s="8">
        <v>3</v>
      </c>
      <c r="AA34" s="8"/>
      <c r="AB34" s="8"/>
      <c r="AC34" s="39"/>
      <c r="AD34" s="8"/>
      <c r="AE34" s="8"/>
      <c r="AF34" s="8">
        <v>30000</v>
      </c>
      <c r="AG34" s="8">
        <v>0.5</v>
      </c>
      <c r="AH34" s="8">
        <f t="shared" si="29"/>
        <v>5000</v>
      </c>
      <c r="AI34" s="8">
        <f t="shared" ref="AI34:AI65" si="30">IF(AJ34="○",P34,"")</f>
        <v>2777.7777777777778</v>
      </c>
      <c r="AJ34" s="10" t="str">
        <f t="shared" ref="AJ34:AJ65" si="31">BP34</f>
        <v>○</v>
      </c>
      <c r="AK34" s="8">
        <f t="shared" ref="AK34:AK65" si="32">IF(AL34="○",Y34,"")</f>
        <v>20000</v>
      </c>
      <c r="AL34" s="10" t="str">
        <f t="shared" ref="AL34:AL65" si="33">BP34</f>
        <v>○</v>
      </c>
      <c r="AM34" s="8">
        <f t="shared" ref="AM34:AM65" si="34">IF(AN34="○",AH34,"")</f>
        <v>5000</v>
      </c>
      <c r="AN34" s="10" t="str">
        <f t="shared" ref="AN34:AN65" si="35">BP34</f>
        <v>○</v>
      </c>
      <c r="AO34" s="8">
        <f t="shared" ref="AO34:AO65" si="36">IF(AP34="○",P34,"")</f>
        <v>2777.7777777777778</v>
      </c>
      <c r="AP34" s="10" t="str">
        <f t="shared" ref="AP34:AP65" si="37">BQ34</f>
        <v>○</v>
      </c>
      <c r="AQ34" s="8">
        <f t="shared" ref="AQ34:AQ65" si="38">IF(AR34="○",Y34,"")</f>
        <v>20000</v>
      </c>
      <c r="AR34" s="10" t="str">
        <f t="shared" ref="AR34:AR65" si="39">BQ34</f>
        <v>○</v>
      </c>
      <c r="AS34" s="8">
        <f t="shared" ref="AS34:AS65" si="40">IF(AT34="○",AH34,"")</f>
        <v>5000</v>
      </c>
      <c r="AT34" s="10" t="str">
        <f t="shared" ref="AT34:AT65" si="41">BQ34</f>
        <v>○</v>
      </c>
      <c r="AU34" s="8">
        <f t="shared" ref="AU34:AU65" si="42">IF(AV34="○",P34,"")</f>
        <v>2777.7777777777778</v>
      </c>
      <c r="AV34" s="10" t="str">
        <f t="shared" ref="AV34:AV65" si="43">BR34</f>
        <v>○</v>
      </c>
      <c r="AW34" s="8">
        <f t="shared" ref="AW34:AW65" si="44">IF(AX34="○",Y34,"")</f>
        <v>20000</v>
      </c>
      <c r="AX34" s="10" t="str">
        <f t="shared" ref="AX34:AX65" si="45">BR34</f>
        <v>○</v>
      </c>
      <c r="AY34" s="8">
        <f t="shared" ref="AY34:AY65" si="46">IF(AZ34="○",AH34,"")</f>
        <v>5000</v>
      </c>
      <c r="AZ34" s="10" t="str">
        <f t="shared" ref="AZ34:AZ65" si="47">BR34</f>
        <v>○</v>
      </c>
      <c r="BA34" s="8">
        <f t="shared" ref="BA34:BA65" si="48">IF(BB34="○",P34,"")</f>
        <v>2777.7777777777778</v>
      </c>
      <c r="BB34" s="10" t="str">
        <f t="shared" ref="BB34:BB65" si="49">BS34</f>
        <v>○</v>
      </c>
      <c r="BC34" s="8">
        <f t="shared" ref="BC34:BC65" si="50">IF(BD34="○",Y34,"")</f>
        <v>20000</v>
      </c>
      <c r="BD34" s="10" t="str">
        <f t="shared" ref="BD34:BD65" si="51">BS34</f>
        <v>○</v>
      </c>
      <c r="BE34" s="8">
        <f t="shared" ref="BE34:BE65" si="52">IF(BF34="○",AH34,"")</f>
        <v>5000</v>
      </c>
      <c r="BF34" s="10" t="str">
        <f t="shared" ref="BF34:BF65" si="53">BS34</f>
        <v>○</v>
      </c>
      <c r="BG34" s="8" t="str">
        <f t="shared" ref="BG34:BG65" si="54">IF(BH34="○",P34,"")</f>
        <v/>
      </c>
      <c r="BH34" s="10" t="str">
        <f t="shared" ref="BH34:BH65" si="55">BT34</f>
        <v>X</v>
      </c>
      <c r="BI34" s="8" t="str">
        <f t="shared" ref="BI34:BI65" si="56">IF(BH34="○",Y34,"")</f>
        <v/>
      </c>
      <c r="BJ34" s="1" t="s">
        <v>977</v>
      </c>
      <c r="BK34" s="1" t="s">
        <v>1102</v>
      </c>
      <c r="BL34" s="1" t="s">
        <v>977</v>
      </c>
      <c r="BM34" s="1" t="s">
        <v>977</v>
      </c>
      <c r="BN34" s="1" t="s">
        <v>977</v>
      </c>
      <c r="BO34" s="1" t="s">
        <v>1102</v>
      </c>
      <c r="BP34" s="1" t="s">
        <v>1100</v>
      </c>
      <c r="BQ34" s="1" t="s">
        <v>1103</v>
      </c>
      <c r="BR34" s="1" t="s">
        <v>1103</v>
      </c>
      <c r="BS34" s="1" t="s">
        <v>1103</v>
      </c>
      <c r="BT34" s="1" t="s">
        <v>1101</v>
      </c>
    </row>
    <row r="35" spans="1:72" x14ac:dyDescent="0.3">
      <c r="A35">
        <v>34</v>
      </c>
      <c r="B35" t="s">
        <v>187</v>
      </c>
      <c r="C35" t="s">
        <v>650</v>
      </c>
      <c r="D35" t="s">
        <v>91</v>
      </c>
      <c r="E35" t="s">
        <v>752</v>
      </c>
      <c r="F35" t="s">
        <v>913</v>
      </c>
      <c r="G35" t="s">
        <v>914</v>
      </c>
      <c r="H35">
        <v>3</v>
      </c>
      <c r="I35" s="8"/>
      <c r="J35" s="8"/>
      <c r="K35" s="39"/>
      <c r="L35" s="8"/>
      <c r="M35" s="8"/>
      <c r="N35" s="8">
        <v>40000</v>
      </c>
      <c r="O35" s="8">
        <v>1</v>
      </c>
      <c r="P35" s="8">
        <f t="shared" si="0"/>
        <v>3333.3333333333335</v>
      </c>
      <c r="Q35" s="8">
        <v>3</v>
      </c>
      <c r="R35" s="8"/>
      <c r="S35" s="8"/>
      <c r="T35" s="39"/>
      <c r="U35" s="8"/>
      <c r="V35" s="8"/>
      <c r="W35" s="8">
        <v>40000</v>
      </c>
      <c r="X35" s="8">
        <v>0.25</v>
      </c>
      <c r="Y35" s="8">
        <f t="shared" si="28"/>
        <v>13333.333333333334</v>
      </c>
      <c r="Z35" s="8">
        <v>3</v>
      </c>
      <c r="AA35" s="8"/>
      <c r="AB35" s="8"/>
      <c r="AC35" s="39"/>
      <c r="AD35" s="8"/>
      <c r="AE35" s="8"/>
      <c r="AF35" s="8">
        <v>20000</v>
      </c>
      <c r="AG35" s="8">
        <v>0.25</v>
      </c>
      <c r="AH35" s="8">
        <f t="shared" si="29"/>
        <v>6666.666666666667</v>
      </c>
      <c r="AI35" s="8" t="str">
        <f t="shared" si="30"/>
        <v/>
      </c>
      <c r="AJ35" s="10" t="str">
        <f t="shared" si="31"/>
        <v>X</v>
      </c>
      <c r="AK35" s="8" t="str">
        <f t="shared" si="32"/>
        <v/>
      </c>
      <c r="AL35" s="10" t="str">
        <f t="shared" si="33"/>
        <v>X</v>
      </c>
      <c r="AM35" s="8" t="str">
        <f t="shared" si="34"/>
        <v/>
      </c>
      <c r="AN35" s="10" t="str">
        <f t="shared" si="35"/>
        <v>X</v>
      </c>
      <c r="AO35" s="8">
        <f t="shared" si="36"/>
        <v>3333.3333333333335</v>
      </c>
      <c r="AP35" s="10" t="str">
        <f t="shared" si="37"/>
        <v>○</v>
      </c>
      <c r="AQ35" s="8">
        <f t="shared" si="38"/>
        <v>13333.333333333334</v>
      </c>
      <c r="AR35" s="10" t="str">
        <f t="shared" si="39"/>
        <v>○</v>
      </c>
      <c r="AS35" s="8">
        <f t="shared" si="40"/>
        <v>6666.666666666667</v>
      </c>
      <c r="AT35" s="10" t="str">
        <f t="shared" si="41"/>
        <v>○</v>
      </c>
      <c r="AU35" s="8">
        <f t="shared" si="42"/>
        <v>3333.3333333333335</v>
      </c>
      <c r="AV35" s="10" t="str">
        <f t="shared" si="43"/>
        <v>○</v>
      </c>
      <c r="AW35" s="8">
        <f t="shared" si="44"/>
        <v>13333.333333333334</v>
      </c>
      <c r="AX35" s="10" t="str">
        <f t="shared" si="45"/>
        <v>○</v>
      </c>
      <c r="AY35" s="8">
        <f t="shared" si="46"/>
        <v>6666.666666666667</v>
      </c>
      <c r="AZ35" s="10" t="str">
        <f t="shared" si="47"/>
        <v>○</v>
      </c>
      <c r="BA35" s="8">
        <f t="shared" si="48"/>
        <v>3333.3333333333335</v>
      </c>
      <c r="BB35" s="10" t="str">
        <f t="shared" si="49"/>
        <v>○</v>
      </c>
      <c r="BC35" s="8">
        <f t="shared" si="50"/>
        <v>13333.333333333334</v>
      </c>
      <c r="BD35" s="10" t="str">
        <f t="shared" si="51"/>
        <v>○</v>
      </c>
      <c r="BE35" s="8">
        <f t="shared" si="52"/>
        <v>6666.666666666667</v>
      </c>
      <c r="BF35" s="10" t="str">
        <f t="shared" si="53"/>
        <v>○</v>
      </c>
      <c r="BG35" s="8" t="str">
        <f t="shared" si="54"/>
        <v/>
      </c>
      <c r="BH35" s="10" t="str">
        <f t="shared" si="55"/>
        <v>X</v>
      </c>
      <c r="BI35" s="8" t="str">
        <f t="shared" si="56"/>
        <v/>
      </c>
      <c r="BJ35" s="1" t="s">
        <v>977</v>
      </c>
      <c r="BK35" s="1" t="s">
        <v>1102</v>
      </c>
      <c r="BL35" s="1" t="s">
        <v>977</v>
      </c>
      <c r="BM35" s="1" t="s">
        <v>977</v>
      </c>
      <c r="BN35" s="1" t="s">
        <v>977</v>
      </c>
      <c r="BO35" s="1" t="s">
        <v>1102</v>
      </c>
      <c r="BP35" s="1" t="s">
        <v>1101</v>
      </c>
      <c r="BQ35" s="1" t="s">
        <v>1103</v>
      </c>
      <c r="BR35" s="1" t="s">
        <v>1103</v>
      </c>
      <c r="BS35" s="1" t="s">
        <v>1103</v>
      </c>
      <c r="BT35" s="1" t="s">
        <v>1101</v>
      </c>
    </row>
    <row r="36" spans="1:72" x14ac:dyDescent="0.3">
      <c r="A36">
        <v>35</v>
      </c>
      <c r="B36" t="s">
        <v>187</v>
      </c>
      <c r="C36" t="s">
        <v>651</v>
      </c>
      <c r="D36" t="s">
        <v>20</v>
      </c>
      <c r="E36" t="s">
        <v>1069</v>
      </c>
      <c r="F36" t="s">
        <v>915</v>
      </c>
      <c r="G36" t="s">
        <v>1070</v>
      </c>
      <c r="H36">
        <v>6</v>
      </c>
      <c r="I36" s="8"/>
      <c r="J36" s="8"/>
      <c r="K36" s="39">
        <v>8.3333333333333329E-2</v>
      </c>
      <c r="L36" s="8">
        <v>6</v>
      </c>
      <c r="M36" s="8">
        <v>40000</v>
      </c>
      <c r="N36" s="8">
        <v>5000</v>
      </c>
      <c r="O36" s="8">
        <v>0.5</v>
      </c>
      <c r="P36" s="8">
        <f t="shared" si="0"/>
        <v>20833.333333333332</v>
      </c>
      <c r="Q36" s="8">
        <v>6</v>
      </c>
      <c r="R36" s="8"/>
      <c r="S36" s="8"/>
      <c r="T36" s="39">
        <v>8.3333333333333329E-2</v>
      </c>
      <c r="U36" s="8">
        <v>12</v>
      </c>
      <c r="V36" s="8">
        <v>100000</v>
      </c>
      <c r="W36" s="8"/>
      <c r="X36" s="8"/>
      <c r="Y36" s="8">
        <f t="shared" si="28"/>
        <v>100000</v>
      </c>
      <c r="Z36" s="8">
        <v>6</v>
      </c>
      <c r="AA36" s="8"/>
      <c r="AB36" s="8"/>
      <c r="AC36" s="39">
        <v>8.3333333333333329E-2</v>
      </c>
      <c r="AD36" s="8">
        <v>3</v>
      </c>
      <c r="AE36" s="8">
        <v>50000</v>
      </c>
      <c r="AF36" s="8">
        <v>10000</v>
      </c>
      <c r="AG36" s="8">
        <f>1/12</f>
        <v>8.3333333333333329E-2</v>
      </c>
      <c r="AH36" s="8">
        <f t="shared" si="29"/>
        <v>22500</v>
      </c>
      <c r="AI36" s="8" t="str">
        <f t="shared" si="30"/>
        <v/>
      </c>
      <c r="AJ36" s="10" t="str">
        <f t="shared" si="31"/>
        <v>X</v>
      </c>
      <c r="AK36" s="8" t="str">
        <f t="shared" si="32"/>
        <v/>
      </c>
      <c r="AL36" s="10" t="str">
        <f t="shared" si="33"/>
        <v>X</v>
      </c>
      <c r="AM36" s="8" t="str">
        <f t="shared" si="34"/>
        <v/>
      </c>
      <c r="AN36" s="10" t="str">
        <f t="shared" si="35"/>
        <v>X</v>
      </c>
      <c r="AO36" s="8">
        <f t="shared" si="36"/>
        <v>20833.333333333332</v>
      </c>
      <c r="AP36" s="10" t="str">
        <f t="shared" si="37"/>
        <v>○</v>
      </c>
      <c r="AQ36" s="8">
        <f t="shared" si="38"/>
        <v>100000</v>
      </c>
      <c r="AR36" s="10" t="str">
        <f t="shared" si="39"/>
        <v>○</v>
      </c>
      <c r="AS36" s="8">
        <f t="shared" si="40"/>
        <v>22500</v>
      </c>
      <c r="AT36" s="10" t="str">
        <f t="shared" si="41"/>
        <v>○</v>
      </c>
      <c r="AU36" s="8">
        <f t="shared" si="42"/>
        <v>20833.333333333332</v>
      </c>
      <c r="AV36" s="10" t="str">
        <f t="shared" si="43"/>
        <v>○</v>
      </c>
      <c r="AW36" s="8">
        <f t="shared" si="44"/>
        <v>100000</v>
      </c>
      <c r="AX36" s="10" t="str">
        <f t="shared" si="45"/>
        <v>○</v>
      </c>
      <c r="AY36" s="8">
        <f t="shared" si="46"/>
        <v>22500</v>
      </c>
      <c r="AZ36" s="10" t="str">
        <f t="shared" si="47"/>
        <v>○</v>
      </c>
      <c r="BA36" s="8">
        <f t="shared" si="48"/>
        <v>20833.333333333332</v>
      </c>
      <c r="BB36" s="10" t="str">
        <f t="shared" si="49"/>
        <v>○</v>
      </c>
      <c r="BC36" s="8">
        <f t="shared" si="50"/>
        <v>100000</v>
      </c>
      <c r="BD36" s="10" t="str">
        <f t="shared" si="51"/>
        <v>○</v>
      </c>
      <c r="BE36" s="8">
        <f t="shared" si="52"/>
        <v>22500</v>
      </c>
      <c r="BF36" s="10" t="str">
        <f t="shared" si="53"/>
        <v>○</v>
      </c>
      <c r="BG36" s="8" t="str">
        <f t="shared" si="54"/>
        <v/>
      </c>
      <c r="BH36" s="10" t="str">
        <f t="shared" si="55"/>
        <v>X</v>
      </c>
      <c r="BI36" s="8" t="str">
        <f t="shared" si="56"/>
        <v/>
      </c>
      <c r="BJ36" s="1" t="s">
        <v>977</v>
      </c>
      <c r="BK36" s="1" t="s">
        <v>1102</v>
      </c>
      <c r="BL36" s="1" t="s">
        <v>977</v>
      </c>
      <c r="BM36" s="1" t="s">
        <v>977</v>
      </c>
      <c r="BN36" s="1" t="s">
        <v>977</v>
      </c>
      <c r="BO36" s="1" t="s">
        <v>1102</v>
      </c>
      <c r="BP36" s="1" t="s">
        <v>1101</v>
      </c>
      <c r="BQ36" s="1" t="s">
        <v>1103</v>
      </c>
      <c r="BR36" s="1" t="s">
        <v>1103</v>
      </c>
      <c r="BS36" s="1" t="s">
        <v>1103</v>
      </c>
      <c r="BT36" s="1" t="s">
        <v>1101</v>
      </c>
    </row>
    <row r="37" spans="1:72" x14ac:dyDescent="0.3">
      <c r="A37" s="36">
        <v>36</v>
      </c>
      <c r="B37" t="s">
        <v>652</v>
      </c>
      <c r="C37" t="s">
        <v>755</v>
      </c>
      <c r="D37" t="s">
        <v>20</v>
      </c>
      <c r="E37" t="s">
        <v>796</v>
      </c>
      <c r="F37" t="s">
        <v>916</v>
      </c>
      <c r="G37" t="s">
        <v>917</v>
      </c>
      <c r="H37">
        <v>6</v>
      </c>
      <c r="I37" s="8"/>
      <c r="J37" s="8"/>
      <c r="K37" s="39"/>
      <c r="L37" s="8"/>
      <c r="M37" s="8"/>
      <c r="N37" s="8">
        <v>5000</v>
      </c>
      <c r="O37" s="8">
        <v>1</v>
      </c>
      <c r="P37" s="8">
        <f t="shared" si="0"/>
        <v>416.66666666666669</v>
      </c>
      <c r="Q37" s="8">
        <v>3</v>
      </c>
      <c r="R37" s="8"/>
      <c r="S37" s="8"/>
      <c r="T37" s="39"/>
      <c r="U37" s="8"/>
      <c r="V37" s="8"/>
      <c r="W37" s="8">
        <v>600000</v>
      </c>
      <c r="X37" s="8">
        <v>1</v>
      </c>
      <c r="Y37" s="8">
        <f t="shared" si="28"/>
        <v>50000</v>
      </c>
      <c r="Z37" s="8">
        <v>3</v>
      </c>
      <c r="AA37" s="8"/>
      <c r="AB37" s="8"/>
      <c r="AC37" s="39"/>
      <c r="AD37" s="8"/>
      <c r="AE37" s="8"/>
      <c r="AF37" s="8">
        <v>300000</v>
      </c>
      <c r="AG37" s="8">
        <v>1</v>
      </c>
      <c r="AH37" s="8">
        <f t="shared" si="29"/>
        <v>25000</v>
      </c>
      <c r="AI37" s="8">
        <f t="shared" si="30"/>
        <v>416.66666666666669</v>
      </c>
      <c r="AJ37" s="10" t="str">
        <f t="shared" si="31"/>
        <v>○</v>
      </c>
      <c r="AK37" s="8">
        <f t="shared" si="32"/>
        <v>50000</v>
      </c>
      <c r="AL37" s="10" t="str">
        <f t="shared" si="33"/>
        <v>○</v>
      </c>
      <c r="AM37" s="8">
        <f t="shared" si="34"/>
        <v>25000</v>
      </c>
      <c r="AN37" s="10" t="str">
        <f t="shared" si="35"/>
        <v>○</v>
      </c>
      <c r="AO37" s="8">
        <f t="shared" si="36"/>
        <v>416.66666666666669</v>
      </c>
      <c r="AP37" s="10" t="str">
        <f t="shared" si="37"/>
        <v>○</v>
      </c>
      <c r="AQ37" s="8">
        <f t="shared" si="38"/>
        <v>50000</v>
      </c>
      <c r="AR37" s="10" t="str">
        <f t="shared" si="39"/>
        <v>○</v>
      </c>
      <c r="AS37" s="8">
        <f t="shared" si="40"/>
        <v>25000</v>
      </c>
      <c r="AT37" s="10" t="str">
        <f t="shared" si="41"/>
        <v>○</v>
      </c>
      <c r="AU37" s="8">
        <f t="shared" si="42"/>
        <v>416.66666666666669</v>
      </c>
      <c r="AV37" s="10" t="str">
        <f t="shared" si="43"/>
        <v>○</v>
      </c>
      <c r="AW37" s="8">
        <f t="shared" si="44"/>
        <v>50000</v>
      </c>
      <c r="AX37" s="10" t="str">
        <f t="shared" si="45"/>
        <v>○</v>
      </c>
      <c r="AY37" s="8">
        <f t="shared" si="46"/>
        <v>25000</v>
      </c>
      <c r="AZ37" s="10" t="str">
        <f t="shared" si="47"/>
        <v>○</v>
      </c>
      <c r="BA37" s="8">
        <f t="shared" si="48"/>
        <v>416.66666666666669</v>
      </c>
      <c r="BB37" s="10" t="str">
        <f t="shared" si="49"/>
        <v>○</v>
      </c>
      <c r="BC37" s="8">
        <f t="shared" si="50"/>
        <v>50000</v>
      </c>
      <c r="BD37" s="10" t="str">
        <f t="shared" si="51"/>
        <v>○</v>
      </c>
      <c r="BE37" s="8">
        <f t="shared" si="52"/>
        <v>25000</v>
      </c>
      <c r="BF37" s="10" t="str">
        <f t="shared" si="53"/>
        <v>○</v>
      </c>
      <c r="BG37" s="8">
        <f t="shared" si="54"/>
        <v>416.66666666666669</v>
      </c>
      <c r="BH37" s="10" t="str">
        <f t="shared" si="55"/>
        <v>○</v>
      </c>
      <c r="BI37" s="8">
        <f t="shared" si="56"/>
        <v>50000</v>
      </c>
      <c r="BJ37" s="1" t="s">
        <v>977</v>
      </c>
      <c r="BK37" s="1" t="s">
        <v>1102</v>
      </c>
      <c r="BL37" s="1" t="s">
        <v>1102</v>
      </c>
      <c r="BM37" s="1" t="s">
        <v>977</v>
      </c>
      <c r="BN37" s="1" t="s">
        <v>977</v>
      </c>
      <c r="BO37" s="1" t="s">
        <v>1102</v>
      </c>
      <c r="BP37" s="1" t="s">
        <v>1103</v>
      </c>
      <c r="BQ37" s="1" t="s">
        <v>1103</v>
      </c>
      <c r="BR37" s="1" t="s">
        <v>1103</v>
      </c>
      <c r="BS37" s="1" t="s">
        <v>1103</v>
      </c>
      <c r="BT37" s="1" t="s">
        <v>1103</v>
      </c>
    </row>
    <row r="38" spans="1:72" x14ac:dyDescent="0.3">
      <c r="A38">
        <v>37</v>
      </c>
      <c r="B38" t="s">
        <v>652</v>
      </c>
      <c r="C38" t="s">
        <v>653</v>
      </c>
      <c r="D38" t="s">
        <v>63</v>
      </c>
      <c r="E38" t="s">
        <v>1071</v>
      </c>
      <c r="F38" t="s">
        <v>918</v>
      </c>
      <c r="G38" t="s">
        <v>919</v>
      </c>
      <c r="H38">
        <v>1</v>
      </c>
      <c r="I38" s="8">
        <v>600000</v>
      </c>
      <c r="J38" s="8">
        <v>5</v>
      </c>
      <c r="K38" s="39"/>
      <c r="L38" s="8"/>
      <c r="M38" s="8"/>
      <c r="N38" s="8"/>
      <c r="O38" s="8"/>
      <c r="P38" s="8">
        <f t="shared" si="0"/>
        <v>10000</v>
      </c>
      <c r="Q38" s="8">
        <v>1</v>
      </c>
      <c r="R38" s="8">
        <v>250000</v>
      </c>
      <c r="S38" s="8">
        <v>1</v>
      </c>
      <c r="T38" s="39"/>
      <c r="U38" s="8"/>
      <c r="V38" s="8"/>
      <c r="W38" s="8"/>
      <c r="X38" s="8"/>
      <c r="Y38" s="8">
        <f t="shared" si="28"/>
        <v>20833.333333333332</v>
      </c>
      <c r="Z38" s="8">
        <v>1</v>
      </c>
      <c r="AA38" s="8">
        <v>60000</v>
      </c>
      <c r="AB38" s="8">
        <v>1</v>
      </c>
      <c r="AC38" s="39"/>
      <c r="AD38" s="8"/>
      <c r="AE38" s="8"/>
      <c r="AF38" s="8"/>
      <c r="AG38" s="8"/>
      <c r="AH38" s="8">
        <f t="shared" si="29"/>
        <v>5000</v>
      </c>
      <c r="AI38" s="8">
        <f t="shared" si="30"/>
        <v>10000</v>
      </c>
      <c r="AJ38" s="10" t="str">
        <f t="shared" si="31"/>
        <v>○</v>
      </c>
      <c r="AK38" s="8">
        <f t="shared" si="32"/>
        <v>20833.333333333332</v>
      </c>
      <c r="AL38" s="10" t="str">
        <f t="shared" si="33"/>
        <v>○</v>
      </c>
      <c r="AM38" s="8">
        <f t="shared" si="34"/>
        <v>5000</v>
      </c>
      <c r="AN38" s="10" t="str">
        <f t="shared" si="35"/>
        <v>○</v>
      </c>
      <c r="AO38" s="8">
        <f t="shared" si="36"/>
        <v>10000</v>
      </c>
      <c r="AP38" s="10" t="str">
        <f t="shared" si="37"/>
        <v>○</v>
      </c>
      <c r="AQ38" s="8">
        <f t="shared" si="38"/>
        <v>20833.333333333332</v>
      </c>
      <c r="AR38" s="10" t="str">
        <f t="shared" si="39"/>
        <v>○</v>
      </c>
      <c r="AS38" s="8">
        <f t="shared" si="40"/>
        <v>5000</v>
      </c>
      <c r="AT38" s="10" t="str">
        <f t="shared" si="41"/>
        <v>○</v>
      </c>
      <c r="AU38" s="8">
        <f t="shared" si="42"/>
        <v>10000</v>
      </c>
      <c r="AV38" s="10" t="str">
        <f t="shared" si="43"/>
        <v>○</v>
      </c>
      <c r="AW38" s="8">
        <f t="shared" si="44"/>
        <v>20833.333333333332</v>
      </c>
      <c r="AX38" s="10" t="str">
        <f t="shared" si="45"/>
        <v>○</v>
      </c>
      <c r="AY38" s="8">
        <f t="shared" si="46"/>
        <v>5000</v>
      </c>
      <c r="AZ38" s="10" t="str">
        <f t="shared" si="47"/>
        <v>○</v>
      </c>
      <c r="BA38" s="8">
        <f t="shared" si="48"/>
        <v>10000</v>
      </c>
      <c r="BB38" s="10" t="str">
        <f t="shared" si="49"/>
        <v>○</v>
      </c>
      <c r="BC38" s="8">
        <f t="shared" si="50"/>
        <v>20833.333333333332</v>
      </c>
      <c r="BD38" s="10" t="str">
        <f t="shared" si="51"/>
        <v>○</v>
      </c>
      <c r="BE38" s="8">
        <f t="shared" si="52"/>
        <v>5000</v>
      </c>
      <c r="BF38" s="10" t="str">
        <f t="shared" si="53"/>
        <v>○</v>
      </c>
      <c r="BG38" s="8">
        <f t="shared" si="54"/>
        <v>10000</v>
      </c>
      <c r="BH38" s="10" t="str">
        <f t="shared" si="55"/>
        <v>○</v>
      </c>
      <c r="BI38" s="8">
        <f t="shared" si="56"/>
        <v>20833.333333333332</v>
      </c>
      <c r="BJ38" s="1" t="s">
        <v>977</v>
      </c>
      <c r="BK38" s="1" t="s">
        <v>1102</v>
      </c>
      <c r="BL38" s="1" t="s">
        <v>977</v>
      </c>
      <c r="BM38" s="1" t="s">
        <v>977</v>
      </c>
      <c r="BN38" s="1" t="s">
        <v>977</v>
      </c>
      <c r="BO38" s="1" t="s">
        <v>1102</v>
      </c>
      <c r="BP38" s="1" t="s">
        <v>1103</v>
      </c>
      <c r="BQ38" s="1" t="s">
        <v>1103</v>
      </c>
      <c r="BR38" s="1" t="s">
        <v>1103</v>
      </c>
      <c r="BS38" s="1" t="s">
        <v>1103</v>
      </c>
      <c r="BT38" s="1" t="s">
        <v>1103</v>
      </c>
    </row>
    <row r="39" spans="1:72" x14ac:dyDescent="0.3">
      <c r="A39">
        <v>38</v>
      </c>
      <c r="B39" t="s">
        <v>184</v>
      </c>
      <c r="C39" t="s">
        <v>654</v>
      </c>
      <c r="D39" t="s">
        <v>36</v>
      </c>
      <c r="E39" t="s">
        <v>827</v>
      </c>
      <c r="F39" t="s">
        <v>443</v>
      </c>
      <c r="G39" t="s">
        <v>444</v>
      </c>
      <c r="H39">
        <v>6</v>
      </c>
      <c r="I39" s="8"/>
      <c r="J39" s="8"/>
      <c r="K39" s="39">
        <v>8.3333333333333329E-2</v>
      </c>
      <c r="L39" s="8">
        <v>12</v>
      </c>
      <c r="M39" s="8">
        <v>40000</v>
      </c>
      <c r="N39" s="8">
        <v>20000</v>
      </c>
      <c r="O39" s="8">
        <v>0.25</v>
      </c>
      <c r="P39" s="8">
        <f t="shared" si="0"/>
        <v>46666.666666666664</v>
      </c>
      <c r="Q39" s="8">
        <v>2</v>
      </c>
      <c r="R39" s="8"/>
      <c r="S39" s="8"/>
      <c r="T39" s="39">
        <v>1</v>
      </c>
      <c r="U39" s="8">
        <v>20</v>
      </c>
      <c r="V39" s="8">
        <v>5000</v>
      </c>
      <c r="W39" s="8"/>
      <c r="X39" s="8"/>
      <c r="Y39" s="8">
        <f t="shared" si="28"/>
        <v>100000</v>
      </c>
      <c r="Z39" s="8">
        <v>2</v>
      </c>
      <c r="AA39" s="8"/>
      <c r="AB39" s="8"/>
      <c r="AC39" s="39">
        <v>1</v>
      </c>
      <c r="AD39" s="8">
        <v>20</v>
      </c>
      <c r="AE39" s="8">
        <v>1800</v>
      </c>
      <c r="AF39" s="8"/>
      <c r="AG39" s="8"/>
      <c r="AH39" s="8">
        <f t="shared" si="29"/>
        <v>36000</v>
      </c>
      <c r="AI39" s="8">
        <f t="shared" si="30"/>
        <v>46666.666666666664</v>
      </c>
      <c r="AJ39" s="10" t="str">
        <f t="shared" si="31"/>
        <v>○</v>
      </c>
      <c r="AK39" s="8">
        <f t="shared" si="32"/>
        <v>100000</v>
      </c>
      <c r="AL39" s="10" t="str">
        <f t="shared" si="33"/>
        <v>○</v>
      </c>
      <c r="AM39" s="8">
        <f t="shared" si="34"/>
        <v>36000</v>
      </c>
      <c r="AN39" s="10" t="str">
        <f t="shared" si="35"/>
        <v>○</v>
      </c>
      <c r="AO39" s="8">
        <f t="shared" si="36"/>
        <v>46666.666666666664</v>
      </c>
      <c r="AP39" s="10" t="str">
        <f t="shared" si="37"/>
        <v>○</v>
      </c>
      <c r="AQ39" s="8">
        <f t="shared" si="38"/>
        <v>100000</v>
      </c>
      <c r="AR39" s="10" t="str">
        <f t="shared" si="39"/>
        <v>○</v>
      </c>
      <c r="AS39" s="8">
        <f t="shared" si="40"/>
        <v>36000</v>
      </c>
      <c r="AT39" s="10" t="str">
        <f t="shared" si="41"/>
        <v>○</v>
      </c>
      <c r="AU39" s="8">
        <f t="shared" si="42"/>
        <v>46666.666666666664</v>
      </c>
      <c r="AV39" s="10" t="str">
        <f t="shared" si="43"/>
        <v>○</v>
      </c>
      <c r="AW39" s="8">
        <f t="shared" si="44"/>
        <v>100000</v>
      </c>
      <c r="AX39" s="10" t="str">
        <f t="shared" si="45"/>
        <v>○</v>
      </c>
      <c r="AY39" s="8">
        <f t="shared" si="46"/>
        <v>36000</v>
      </c>
      <c r="AZ39" s="10" t="str">
        <f t="shared" si="47"/>
        <v>○</v>
      </c>
      <c r="BA39" s="8">
        <f t="shared" si="48"/>
        <v>46666.666666666664</v>
      </c>
      <c r="BB39" s="10" t="str">
        <f t="shared" si="49"/>
        <v>○</v>
      </c>
      <c r="BC39" s="8">
        <f t="shared" si="50"/>
        <v>100000</v>
      </c>
      <c r="BD39" s="10" t="str">
        <f t="shared" si="51"/>
        <v>○</v>
      </c>
      <c r="BE39" s="8">
        <f t="shared" si="52"/>
        <v>36000</v>
      </c>
      <c r="BF39" s="10" t="str">
        <f t="shared" si="53"/>
        <v>○</v>
      </c>
      <c r="BG39" s="8">
        <f t="shared" si="54"/>
        <v>46666.666666666664</v>
      </c>
      <c r="BH39" s="10" t="str">
        <f t="shared" si="55"/>
        <v>○</v>
      </c>
      <c r="BI39" s="8">
        <f t="shared" si="56"/>
        <v>100000</v>
      </c>
      <c r="BJ39" s="1" t="s">
        <v>977</v>
      </c>
      <c r="BK39" s="1" t="s">
        <v>1102</v>
      </c>
      <c r="BL39" s="1" t="s">
        <v>977</v>
      </c>
      <c r="BM39" s="1" t="s">
        <v>977</v>
      </c>
      <c r="BN39" s="1" t="s">
        <v>1102</v>
      </c>
      <c r="BO39" s="1" t="s">
        <v>1102</v>
      </c>
      <c r="BP39" s="1" t="s">
        <v>1103</v>
      </c>
      <c r="BQ39" s="1" t="s">
        <v>1103</v>
      </c>
      <c r="BR39" s="1" t="s">
        <v>1103</v>
      </c>
      <c r="BS39" s="1" t="s">
        <v>1103</v>
      </c>
      <c r="BT39" s="1" t="s">
        <v>1103</v>
      </c>
    </row>
    <row r="40" spans="1:72" x14ac:dyDescent="0.3">
      <c r="A40">
        <v>39</v>
      </c>
      <c r="B40" t="s">
        <v>184</v>
      </c>
      <c r="C40" t="s">
        <v>655</v>
      </c>
      <c r="D40" t="s">
        <v>81</v>
      </c>
      <c r="E40" t="s">
        <v>828</v>
      </c>
      <c r="F40" t="s">
        <v>519</v>
      </c>
      <c r="G40" t="s">
        <v>520</v>
      </c>
      <c r="H40">
        <v>3</v>
      </c>
      <c r="I40" s="8"/>
      <c r="J40" s="8"/>
      <c r="K40" s="39"/>
      <c r="L40" s="8"/>
      <c r="M40" s="8"/>
      <c r="N40" s="8">
        <v>5000</v>
      </c>
      <c r="O40" s="8">
        <v>0.5</v>
      </c>
      <c r="P40" s="8">
        <f t="shared" si="0"/>
        <v>833.33333333333337</v>
      </c>
      <c r="Q40" s="8">
        <v>2</v>
      </c>
      <c r="R40" s="8"/>
      <c r="S40" s="8"/>
      <c r="T40" s="39">
        <v>8.3333333333333329E-2</v>
      </c>
      <c r="U40" s="8">
        <v>48</v>
      </c>
      <c r="V40" s="8">
        <v>30000</v>
      </c>
      <c r="W40" s="8"/>
      <c r="X40" s="8"/>
      <c r="Y40" s="8">
        <f t="shared" si="28"/>
        <v>120000</v>
      </c>
      <c r="Z40" s="8">
        <v>2</v>
      </c>
      <c r="AA40" s="8"/>
      <c r="AB40" s="8"/>
      <c r="AC40" s="39">
        <v>8.3333333333333329E-2</v>
      </c>
      <c r="AD40" s="8">
        <v>12</v>
      </c>
      <c r="AE40" s="8">
        <v>2500</v>
      </c>
      <c r="AF40" s="8"/>
      <c r="AG40" s="8"/>
      <c r="AH40" s="8">
        <f t="shared" si="29"/>
        <v>2500</v>
      </c>
      <c r="AI40" s="8">
        <f t="shared" si="30"/>
        <v>833.33333333333337</v>
      </c>
      <c r="AJ40" s="10" t="str">
        <f t="shared" si="31"/>
        <v>○</v>
      </c>
      <c r="AK40" s="8">
        <f t="shared" si="32"/>
        <v>120000</v>
      </c>
      <c r="AL40" s="10" t="str">
        <f t="shared" si="33"/>
        <v>○</v>
      </c>
      <c r="AM40" s="8">
        <f t="shared" si="34"/>
        <v>2500</v>
      </c>
      <c r="AN40" s="10" t="str">
        <f t="shared" si="35"/>
        <v>○</v>
      </c>
      <c r="AO40" s="8">
        <f t="shared" si="36"/>
        <v>833.33333333333337</v>
      </c>
      <c r="AP40" s="10" t="str">
        <f t="shared" si="37"/>
        <v>○</v>
      </c>
      <c r="AQ40" s="8">
        <f t="shared" si="38"/>
        <v>120000</v>
      </c>
      <c r="AR40" s="10" t="str">
        <f t="shared" si="39"/>
        <v>○</v>
      </c>
      <c r="AS40" s="8">
        <f t="shared" si="40"/>
        <v>2500</v>
      </c>
      <c r="AT40" s="10" t="str">
        <f t="shared" si="41"/>
        <v>○</v>
      </c>
      <c r="AU40" s="8">
        <f t="shared" si="42"/>
        <v>833.33333333333337</v>
      </c>
      <c r="AV40" s="10" t="str">
        <f t="shared" si="43"/>
        <v>○</v>
      </c>
      <c r="AW40" s="8">
        <f t="shared" si="44"/>
        <v>120000</v>
      </c>
      <c r="AX40" s="10" t="str">
        <f t="shared" si="45"/>
        <v>○</v>
      </c>
      <c r="AY40" s="8">
        <f t="shared" si="46"/>
        <v>2500</v>
      </c>
      <c r="AZ40" s="10" t="str">
        <f t="shared" si="47"/>
        <v>○</v>
      </c>
      <c r="BA40" s="8">
        <f t="shared" si="48"/>
        <v>833.33333333333337</v>
      </c>
      <c r="BB40" s="10" t="str">
        <f t="shared" si="49"/>
        <v>○</v>
      </c>
      <c r="BC40" s="8">
        <f t="shared" si="50"/>
        <v>120000</v>
      </c>
      <c r="BD40" s="10" t="str">
        <f t="shared" si="51"/>
        <v>○</v>
      </c>
      <c r="BE40" s="8">
        <f t="shared" si="52"/>
        <v>2500</v>
      </c>
      <c r="BF40" s="10" t="str">
        <f t="shared" si="53"/>
        <v>○</v>
      </c>
      <c r="BG40" s="8">
        <f t="shared" si="54"/>
        <v>833.33333333333337</v>
      </c>
      <c r="BH40" s="10" t="str">
        <f t="shared" si="55"/>
        <v>○</v>
      </c>
      <c r="BI40" s="8">
        <f t="shared" si="56"/>
        <v>120000</v>
      </c>
      <c r="BJ40" s="1" t="s">
        <v>977</v>
      </c>
      <c r="BK40" s="1" t="s">
        <v>1102</v>
      </c>
      <c r="BL40" s="1" t="s">
        <v>977</v>
      </c>
      <c r="BM40" s="1" t="s">
        <v>977</v>
      </c>
      <c r="BN40" s="1" t="s">
        <v>1102</v>
      </c>
      <c r="BO40" s="1" t="s">
        <v>1102</v>
      </c>
      <c r="BP40" s="1" t="s">
        <v>1103</v>
      </c>
      <c r="BQ40" s="1" t="s">
        <v>1103</v>
      </c>
      <c r="BR40" s="1" t="s">
        <v>1103</v>
      </c>
      <c r="BS40" s="1" t="s">
        <v>1103</v>
      </c>
      <c r="BT40" s="1" t="s">
        <v>1103</v>
      </c>
    </row>
    <row r="41" spans="1:72" x14ac:dyDescent="0.3">
      <c r="A41">
        <v>40</v>
      </c>
      <c r="B41" t="s">
        <v>184</v>
      </c>
      <c r="C41" t="s">
        <v>656</v>
      </c>
      <c r="D41" t="s">
        <v>81</v>
      </c>
      <c r="E41" t="s">
        <v>829</v>
      </c>
      <c r="F41" t="s">
        <v>522</v>
      </c>
      <c r="G41" t="s">
        <v>523</v>
      </c>
      <c r="H41">
        <v>2</v>
      </c>
      <c r="I41" s="8"/>
      <c r="J41" s="8"/>
      <c r="K41" s="39">
        <v>8.3333333333333329E-2</v>
      </c>
      <c r="L41" s="8">
        <v>6</v>
      </c>
      <c r="M41" s="8">
        <v>70000</v>
      </c>
      <c r="N41" s="8"/>
      <c r="O41" s="8"/>
      <c r="P41" s="8">
        <f t="shared" si="0"/>
        <v>35000</v>
      </c>
      <c r="Q41" s="8">
        <v>2</v>
      </c>
      <c r="R41" s="8"/>
      <c r="S41" s="8"/>
      <c r="T41" s="39">
        <v>8.3333333333333329E-2</v>
      </c>
      <c r="U41" s="8">
        <v>48</v>
      </c>
      <c r="V41" s="8">
        <v>12000</v>
      </c>
      <c r="W41" s="8"/>
      <c r="X41" s="8"/>
      <c r="Y41" s="8">
        <f t="shared" si="28"/>
        <v>48000</v>
      </c>
      <c r="Z41" s="8">
        <v>2</v>
      </c>
      <c r="AA41" s="8"/>
      <c r="AB41" s="8"/>
      <c r="AC41" s="39">
        <v>8.3333333333333329E-2</v>
      </c>
      <c r="AD41" s="8">
        <v>96</v>
      </c>
      <c r="AE41" s="8">
        <v>8000</v>
      </c>
      <c r="AF41" s="8"/>
      <c r="AG41" s="8"/>
      <c r="AH41" s="8">
        <f t="shared" si="29"/>
        <v>64000</v>
      </c>
      <c r="AI41" s="8">
        <f t="shared" si="30"/>
        <v>35000</v>
      </c>
      <c r="AJ41" s="10" t="str">
        <f t="shared" si="31"/>
        <v>○</v>
      </c>
      <c r="AK41" s="8">
        <f t="shared" si="32"/>
        <v>48000</v>
      </c>
      <c r="AL41" s="10" t="str">
        <f t="shared" si="33"/>
        <v>○</v>
      </c>
      <c r="AM41" s="8">
        <f t="shared" si="34"/>
        <v>64000</v>
      </c>
      <c r="AN41" s="10" t="str">
        <f t="shared" si="35"/>
        <v>○</v>
      </c>
      <c r="AO41" s="8" t="str">
        <f t="shared" si="36"/>
        <v/>
      </c>
      <c r="AP41" s="10" t="str">
        <f t="shared" si="37"/>
        <v>△</v>
      </c>
      <c r="AQ41" s="8" t="str">
        <f t="shared" si="38"/>
        <v/>
      </c>
      <c r="AR41" s="10" t="str">
        <f t="shared" si="39"/>
        <v>△</v>
      </c>
      <c r="AS41" s="8" t="str">
        <f t="shared" si="40"/>
        <v/>
      </c>
      <c r="AT41" s="10" t="str">
        <f t="shared" si="41"/>
        <v>△</v>
      </c>
      <c r="AU41" s="8" t="str">
        <f t="shared" si="42"/>
        <v/>
      </c>
      <c r="AV41" s="10" t="str">
        <f t="shared" si="43"/>
        <v>△</v>
      </c>
      <c r="AW41" s="8" t="str">
        <f t="shared" si="44"/>
        <v/>
      </c>
      <c r="AX41" s="10" t="str">
        <f t="shared" si="45"/>
        <v>△</v>
      </c>
      <c r="AY41" s="8" t="str">
        <f t="shared" si="46"/>
        <v/>
      </c>
      <c r="AZ41" s="10" t="str">
        <f t="shared" si="47"/>
        <v>△</v>
      </c>
      <c r="BA41" s="8" t="str">
        <f t="shared" si="48"/>
        <v/>
      </c>
      <c r="BB41" s="10" t="str">
        <f t="shared" si="49"/>
        <v>X</v>
      </c>
      <c r="BC41" s="8" t="str">
        <f t="shared" si="50"/>
        <v/>
      </c>
      <c r="BD41" s="10" t="str">
        <f t="shared" si="51"/>
        <v>X</v>
      </c>
      <c r="BE41" s="8" t="str">
        <f t="shared" si="52"/>
        <v/>
      </c>
      <c r="BF41" s="10" t="str">
        <f t="shared" si="53"/>
        <v>X</v>
      </c>
      <c r="BG41" s="8" t="str">
        <f t="shared" si="54"/>
        <v/>
      </c>
      <c r="BH41" s="10" t="str">
        <f t="shared" si="55"/>
        <v>△</v>
      </c>
      <c r="BI41" s="8" t="str">
        <f t="shared" si="56"/>
        <v/>
      </c>
      <c r="BJ41" s="1" t="s">
        <v>977</v>
      </c>
      <c r="BK41" s="1" t="s">
        <v>1102</v>
      </c>
      <c r="BL41" s="1" t="s">
        <v>977</v>
      </c>
      <c r="BM41" s="1" t="s">
        <v>977</v>
      </c>
      <c r="BN41" s="1" t="s">
        <v>1102</v>
      </c>
      <c r="BO41" s="1" t="s">
        <v>1102</v>
      </c>
      <c r="BP41" s="1" t="s">
        <v>1103</v>
      </c>
      <c r="BQ41" s="1" t="s">
        <v>622</v>
      </c>
      <c r="BR41" s="1" t="s">
        <v>622</v>
      </c>
      <c r="BS41" s="1" t="s">
        <v>657</v>
      </c>
      <c r="BT41" s="1" t="s">
        <v>622</v>
      </c>
    </row>
    <row r="42" spans="1:72" x14ac:dyDescent="0.3">
      <c r="A42">
        <v>41</v>
      </c>
      <c r="B42" t="s">
        <v>184</v>
      </c>
      <c r="C42" t="s">
        <v>658</v>
      </c>
      <c r="D42" t="s">
        <v>91</v>
      </c>
      <c r="E42" t="s">
        <v>1072</v>
      </c>
      <c r="F42" t="s">
        <v>301</v>
      </c>
      <c r="G42" t="s">
        <v>893</v>
      </c>
      <c r="H42">
        <v>2</v>
      </c>
      <c r="I42" s="8"/>
      <c r="J42" s="8"/>
      <c r="K42" s="39">
        <v>8.3333333333333329E-2</v>
      </c>
      <c r="L42" s="8">
        <v>12</v>
      </c>
      <c r="M42" s="8">
        <v>20000</v>
      </c>
      <c r="N42" s="8"/>
      <c r="O42" s="8"/>
      <c r="P42" s="8">
        <f t="shared" si="0"/>
        <v>20000</v>
      </c>
      <c r="Q42" s="8">
        <v>2</v>
      </c>
      <c r="R42" s="8"/>
      <c r="S42" s="8"/>
      <c r="T42" s="39">
        <v>8.3333333333333329E-2</v>
      </c>
      <c r="U42" s="8">
        <v>48</v>
      </c>
      <c r="V42" s="8">
        <v>30000</v>
      </c>
      <c r="W42" s="8"/>
      <c r="X42" s="8"/>
      <c r="Y42" s="8">
        <f t="shared" si="28"/>
        <v>120000</v>
      </c>
      <c r="Z42" s="8">
        <v>2</v>
      </c>
      <c r="AA42" s="8"/>
      <c r="AB42" s="8"/>
      <c r="AC42" s="39">
        <v>8.3333333333333329E-2</v>
      </c>
      <c r="AD42" s="8">
        <v>24</v>
      </c>
      <c r="AE42" s="8">
        <v>7800</v>
      </c>
      <c r="AF42" s="8"/>
      <c r="AG42" s="8"/>
      <c r="AH42" s="8">
        <f t="shared" si="29"/>
        <v>15600</v>
      </c>
      <c r="AI42" s="8">
        <f t="shared" si="30"/>
        <v>20000</v>
      </c>
      <c r="AJ42" s="10" t="str">
        <f t="shared" si="31"/>
        <v>○</v>
      </c>
      <c r="AK42" s="8">
        <f t="shared" si="32"/>
        <v>120000</v>
      </c>
      <c r="AL42" s="10" t="str">
        <f t="shared" si="33"/>
        <v>○</v>
      </c>
      <c r="AM42" s="8">
        <f t="shared" si="34"/>
        <v>15600</v>
      </c>
      <c r="AN42" s="10" t="str">
        <f t="shared" si="35"/>
        <v>○</v>
      </c>
      <c r="AO42" s="8">
        <f t="shared" si="36"/>
        <v>20000</v>
      </c>
      <c r="AP42" s="10" t="str">
        <f t="shared" si="37"/>
        <v>○</v>
      </c>
      <c r="AQ42" s="8">
        <f t="shared" si="38"/>
        <v>120000</v>
      </c>
      <c r="AR42" s="10" t="str">
        <f t="shared" si="39"/>
        <v>○</v>
      </c>
      <c r="AS42" s="8">
        <f t="shared" si="40"/>
        <v>15600</v>
      </c>
      <c r="AT42" s="10" t="str">
        <f t="shared" si="41"/>
        <v>○</v>
      </c>
      <c r="AU42" s="8">
        <f t="shared" si="42"/>
        <v>20000</v>
      </c>
      <c r="AV42" s="10" t="str">
        <f t="shared" si="43"/>
        <v>○</v>
      </c>
      <c r="AW42" s="8">
        <f t="shared" si="44"/>
        <v>120000</v>
      </c>
      <c r="AX42" s="10" t="str">
        <f t="shared" si="45"/>
        <v>○</v>
      </c>
      <c r="AY42" s="8">
        <f t="shared" si="46"/>
        <v>15600</v>
      </c>
      <c r="AZ42" s="10" t="str">
        <f t="shared" si="47"/>
        <v>○</v>
      </c>
      <c r="BA42" s="8" t="str">
        <f t="shared" si="48"/>
        <v/>
      </c>
      <c r="BB42" s="10" t="str">
        <f t="shared" si="49"/>
        <v>△</v>
      </c>
      <c r="BC42" s="8" t="str">
        <f t="shared" si="50"/>
        <v/>
      </c>
      <c r="BD42" s="10" t="str">
        <f t="shared" si="51"/>
        <v>△</v>
      </c>
      <c r="BE42" s="8" t="str">
        <f t="shared" si="52"/>
        <v/>
      </c>
      <c r="BF42" s="10" t="str">
        <f t="shared" si="53"/>
        <v>△</v>
      </c>
      <c r="BG42" s="8">
        <f t="shared" si="54"/>
        <v>20000</v>
      </c>
      <c r="BH42" s="10" t="str">
        <f t="shared" si="55"/>
        <v>○</v>
      </c>
      <c r="BI42" s="8">
        <f t="shared" si="56"/>
        <v>120000</v>
      </c>
      <c r="BJ42" s="1" t="s">
        <v>977</v>
      </c>
      <c r="BK42" s="1" t="s">
        <v>1102</v>
      </c>
      <c r="BL42" s="1" t="s">
        <v>977</v>
      </c>
      <c r="BM42" s="1" t="s">
        <v>977</v>
      </c>
      <c r="BN42" s="1" t="s">
        <v>1102</v>
      </c>
      <c r="BO42" s="1" t="s">
        <v>1102</v>
      </c>
      <c r="BP42" s="1" t="s">
        <v>1103</v>
      </c>
      <c r="BQ42" s="1" t="s">
        <v>1103</v>
      </c>
      <c r="BR42" s="1" t="s">
        <v>1103</v>
      </c>
      <c r="BS42" s="1" t="s">
        <v>622</v>
      </c>
      <c r="BT42" s="1" t="s">
        <v>1103</v>
      </c>
    </row>
    <row r="43" spans="1:72" x14ac:dyDescent="0.3">
      <c r="A43">
        <v>42</v>
      </c>
      <c r="B43" t="s">
        <v>40</v>
      </c>
      <c r="C43" t="s">
        <v>659</v>
      </c>
      <c r="D43" t="s">
        <v>47</v>
      </c>
      <c r="E43" t="s">
        <v>1073</v>
      </c>
      <c r="F43" t="s">
        <v>472</v>
      </c>
      <c r="G43" t="s">
        <v>1074</v>
      </c>
      <c r="H43">
        <v>1</v>
      </c>
      <c r="I43" s="8">
        <v>7000000</v>
      </c>
      <c r="J43" s="8">
        <v>10</v>
      </c>
      <c r="K43" s="39"/>
      <c r="L43" s="8"/>
      <c r="M43" s="8"/>
      <c r="N43" s="8"/>
      <c r="O43" s="8"/>
      <c r="P43" s="8">
        <f t="shared" si="0"/>
        <v>58333.333333333336</v>
      </c>
      <c r="Q43" s="8">
        <v>1</v>
      </c>
      <c r="R43" s="8"/>
      <c r="S43" s="8"/>
      <c r="T43" s="39"/>
      <c r="U43" s="8"/>
      <c r="V43" s="8"/>
      <c r="W43" s="8"/>
      <c r="X43" s="8"/>
      <c r="Y43" s="8" t="str">
        <f t="shared" si="28"/>
        <v/>
      </c>
      <c r="Z43" s="8">
        <v>5</v>
      </c>
      <c r="AA43" s="8">
        <v>900000</v>
      </c>
      <c r="AB43" s="8">
        <v>2</v>
      </c>
      <c r="AC43" s="39"/>
      <c r="AD43" s="8"/>
      <c r="AE43" s="8"/>
      <c r="AF43" s="8">
        <v>600000</v>
      </c>
      <c r="AG43" s="8">
        <v>2</v>
      </c>
      <c r="AH43" s="8">
        <f t="shared" si="29"/>
        <v>62500</v>
      </c>
      <c r="AI43" s="8">
        <f t="shared" si="30"/>
        <v>58333.333333333336</v>
      </c>
      <c r="AJ43" s="10" t="str">
        <f t="shared" si="31"/>
        <v>○</v>
      </c>
      <c r="AK43" s="8" t="str">
        <f t="shared" si="32"/>
        <v/>
      </c>
      <c r="AL43" s="10" t="str">
        <f t="shared" si="33"/>
        <v>○</v>
      </c>
      <c r="AM43" s="8">
        <f t="shared" si="34"/>
        <v>62500</v>
      </c>
      <c r="AN43" s="10" t="str">
        <f t="shared" si="35"/>
        <v>○</v>
      </c>
      <c r="AO43" s="8" t="str">
        <f t="shared" si="36"/>
        <v/>
      </c>
      <c r="AP43" s="10" t="str">
        <f t="shared" si="37"/>
        <v>△</v>
      </c>
      <c r="AQ43" s="8" t="str">
        <f t="shared" si="38"/>
        <v/>
      </c>
      <c r="AR43" s="10" t="str">
        <f t="shared" si="39"/>
        <v>△</v>
      </c>
      <c r="AS43" s="8" t="str">
        <f t="shared" si="40"/>
        <v/>
      </c>
      <c r="AT43" s="10" t="str">
        <f t="shared" si="41"/>
        <v>△</v>
      </c>
      <c r="AU43" s="8" t="str">
        <f t="shared" si="42"/>
        <v/>
      </c>
      <c r="AV43" s="10" t="str">
        <f t="shared" si="43"/>
        <v>△</v>
      </c>
      <c r="AW43" s="8" t="str">
        <f t="shared" si="44"/>
        <v/>
      </c>
      <c r="AX43" s="10" t="str">
        <f t="shared" si="45"/>
        <v>△</v>
      </c>
      <c r="AY43" s="8" t="str">
        <f t="shared" si="46"/>
        <v/>
      </c>
      <c r="AZ43" s="10" t="str">
        <f t="shared" si="47"/>
        <v>△</v>
      </c>
      <c r="BA43" s="8" t="str">
        <f t="shared" si="48"/>
        <v/>
      </c>
      <c r="BB43" s="10" t="str">
        <f t="shared" si="49"/>
        <v>X</v>
      </c>
      <c r="BC43" s="8" t="str">
        <f t="shared" si="50"/>
        <v/>
      </c>
      <c r="BD43" s="10" t="str">
        <f t="shared" si="51"/>
        <v>X</v>
      </c>
      <c r="BE43" s="8" t="str">
        <f t="shared" si="52"/>
        <v/>
      </c>
      <c r="BF43" s="10" t="str">
        <f t="shared" si="53"/>
        <v>X</v>
      </c>
      <c r="BG43" s="8" t="str">
        <f t="shared" si="54"/>
        <v/>
      </c>
      <c r="BH43" s="10" t="str">
        <f t="shared" si="55"/>
        <v>△</v>
      </c>
      <c r="BI43" s="8" t="str">
        <f t="shared" si="56"/>
        <v/>
      </c>
      <c r="BJ43" s="1" t="s">
        <v>977</v>
      </c>
      <c r="BK43" s="1" t="s">
        <v>1044</v>
      </c>
      <c r="BL43" s="1" t="s">
        <v>977</v>
      </c>
      <c r="BM43" s="1" t="s">
        <v>977</v>
      </c>
      <c r="BN43" s="1" t="s">
        <v>1044</v>
      </c>
      <c r="BO43" s="1" t="s">
        <v>1102</v>
      </c>
      <c r="BP43" s="1" t="s">
        <v>1103</v>
      </c>
      <c r="BQ43" s="1" t="s">
        <v>622</v>
      </c>
      <c r="BR43" s="1" t="s">
        <v>622</v>
      </c>
      <c r="BS43" s="1" t="s">
        <v>657</v>
      </c>
      <c r="BT43" s="1" t="s">
        <v>622</v>
      </c>
    </row>
    <row r="44" spans="1:72" x14ac:dyDescent="0.3">
      <c r="A44">
        <v>43</v>
      </c>
      <c r="B44" t="s">
        <v>40</v>
      </c>
      <c r="C44" t="s">
        <v>662</v>
      </c>
      <c r="D44" t="s">
        <v>47</v>
      </c>
      <c r="E44" t="s">
        <v>664</v>
      </c>
      <c r="F44" t="s">
        <v>472</v>
      </c>
      <c r="G44" t="s">
        <v>965</v>
      </c>
      <c r="H44">
        <v>1</v>
      </c>
      <c r="I44" s="8">
        <v>6000000</v>
      </c>
      <c r="J44" s="8">
        <v>7</v>
      </c>
      <c r="K44" s="39"/>
      <c r="L44" s="8"/>
      <c r="M44" s="8"/>
      <c r="N44" s="8"/>
      <c r="O44" s="8"/>
      <c r="P44" s="8">
        <f t="shared" si="0"/>
        <v>71428.571428571435</v>
      </c>
      <c r="Q44" s="8">
        <v>1</v>
      </c>
      <c r="R44" s="8"/>
      <c r="S44" s="8"/>
      <c r="T44" s="39"/>
      <c r="U44" s="8"/>
      <c r="V44" s="8"/>
      <c r="W44" s="8"/>
      <c r="X44" s="8"/>
      <c r="Y44" s="8" t="str">
        <f t="shared" si="28"/>
        <v/>
      </c>
      <c r="Z44" s="8">
        <v>1</v>
      </c>
      <c r="AA44" s="8">
        <v>2000000</v>
      </c>
      <c r="AB44" s="8">
        <v>2</v>
      </c>
      <c r="AC44" s="39"/>
      <c r="AD44" s="8"/>
      <c r="AE44" s="8"/>
      <c r="AF44" s="8"/>
      <c r="AG44" s="8"/>
      <c r="AH44" s="8">
        <f t="shared" si="29"/>
        <v>83333.333333333328</v>
      </c>
      <c r="AI44" s="8">
        <f t="shared" si="30"/>
        <v>71428.571428571435</v>
      </c>
      <c r="AJ44" s="10" t="str">
        <f t="shared" si="31"/>
        <v>○</v>
      </c>
      <c r="AK44" s="8" t="str">
        <f t="shared" si="32"/>
        <v/>
      </c>
      <c r="AL44" s="10" t="str">
        <f t="shared" si="33"/>
        <v>○</v>
      </c>
      <c r="AM44" s="8">
        <f t="shared" si="34"/>
        <v>83333.333333333328</v>
      </c>
      <c r="AN44" s="10" t="str">
        <f t="shared" si="35"/>
        <v>○</v>
      </c>
      <c r="AO44" s="8">
        <f t="shared" si="36"/>
        <v>71428.571428571435</v>
      </c>
      <c r="AP44" s="10" t="str">
        <f t="shared" si="37"/>
        <v>○</v>
      </c>
      <c r="AQ44" s="8" t="str">
        <f t="shared" si="38"/>
        <v/>
      </c>
      <c r="AR44" s="10" t="str">
        <f t="shared" si="39"/>
        <v>○</v>
      </c>
      <c r="AS44" s="8">
        <f t="shared" si="40"/>
        <v>83333.333333333328</v>
      </c>
      <c r="AT44" s="10" t="str">
        <f t="shared" si="41"/>
        <v>○</v>
      </c>
      <c r="AU44" s="8" t="str">
        <f t="shared" si="42"/>
        <v/>
      </c>
      <c r="AV44" s="10" t="str">
        <f t="shared" si="43"/>
        <v>△</v>
      </c>
      <c r="AW44" s="8" t="str">
        <f t="shared" si="44"/>
        <v/>
      </c>
      <c r="AX44" s="10" t="str">
        <f t="shared" si="45"/>
        <v>△</v>
      </c>
      <c r="AY44" s="8" t="str">
        <f t="shared" si="46"/>
        <v/>
      </c>
      <c r="AZ44" s="10" t="str">
        <f t="shared" si="47"/>
        <v>△</v>
      </c>
      <c r="BA44" s="8" t="str">
        <f t="shared" si="48"/>
        <v/>
      </c>
      <c r="BB44" s="10" t="str">
        <f t="shared" si="49"/>
        <v>X</v>
      </c>
      <c r="BC44" s="8" t="str">
        <f t="shared" si="50"/>
        <v/>
      </c>
      <c r="BD44" s="10" t="str">
        <f t="shared" si="51"/>
        <v>X</v>
      </c>
      <c r="BE44" s="8" t="str">
        <f t="shared" si="52"/>
        <v/>
      </c>
      <c r="BF44" s="10" t="str">
        <f t="shared" si="53"/>
        <v>X</v>
      </c>
      <c r="BG44" s="8" t="str">
        <f t="shared" si="54"/>
        <v/>
      </c>
      <c r="BH44" s="10" t="str">
        <f t="shared" si="55"/>
        <v>△</v>
      </c>
      <c r="BI44" s="8" t="str">
        <f t="shared" si="56"/>
        <v/>
      </c>
      <c r="BJ44" s="1" t="s">
        <v>977</v>
      </c>
      <c r="BK44" s="1" t="s">
        <v>1044</v>
      </c>
      <c r="BL44" s="1" t="s">
        <v>977</v>
      </c>
      <c r="BM44" s="1" t="s">
        <v>977</v>
      </c>
      <c r="BN44" s="1" t="s">
        <v>1044</v>
      </c>
      <c r="BO44" s="1" t="s">
        <v>1102</v>
      </c>
      <c r="BP44" s="1" t="s">
        <v>1103</v>
      </c>
      <c r="BQ44" s="1" t="s">
        <v>1103</v>
      </c>
      <c r="BR44" s="1" t="s">
        <v>622</v>
      </c>
      <c r="BS44" s="1" t="s">
        <v>657</v>
      </c>
      <c r="BT44" s="1" t="s">
        <v>622</v>
      </c>
    </row>
    <row r="45" spans="1:72" x14ac:dyDescent="0.3">
      <c r="A45">
        <v>44</v>
      </c>
      <c r="B45" t="s">
        <v>40</v>
      </c>
      <c r="C45" t="s">
        <v>665</v>
      </c>
      <c r="D45" t="s">
        <v>47</v>
      </c>
      <c r="E45" t="s">
        <v>758</v>
      </c>
      <c r="F45" t="s">
        <v>281</v>
      </c>
      <c r="G45" t="s">
        <v>477</v>
      </c>
      <c r="H45">
        <v>1</v>
      </c>
      <c r="I45" s="8">
        <v>1500000</v>
      </c>
      <c r="J45" s="8">
        <v>5</v>
      </c>
      <c r="K45" s="39"/>
      <c r="L45" s="8"/>
      <c r="M45" s="8"/>
      <c r="N45" s="8"/>
      <c r="O45" s="8"/>
      <c r="P45" s="8">
        <f t="shared" si="0"/>
        <v>25000</v>
      </c>
      <c r="Q45" s="8">
        <v>1</v>
      </c>
      <c r="R45" s="8">
        <v>1500000</v>
      </c>
      <c r="S45" s="8">
        <v>5</v>
      </c>
      <c r="T45" s="39"/>
      <c r="U45" s="8"/>
      <c r="V45" s="8"/>
      <c r="W45" s="8"/>
      <c r="X45" s="8"/>
      <c r="Y45" s="8">
        <f t="shared" si="28"/>
        <v>25000</v>
      </c>
      <c r="Z45" s="8">
        <v>1</v>
      </c>
      <c r="AA45" s="8">
        <v>250000</v>
      </c>
      <c r="AB45" s="8">
        <v>1</v>
      </c>
      <c r="AC45" s="39"/>
      <c r="AD45" s="8"/>
      <c r="AE45" s="8"/>
      <c r="AF45" s="8"/>
      <c r="AG45" s="8"/>
      <c r="AH45" s="8">
        <f t="shared" si="29"/>
        <v>20833.333333333332</v>
      </c>
      <c r="AI45" s="8">
        <f t="shared" si="30"/>
        <v>25000</v>
      </c>
      <c r="AJ45" s="10" t="str">
        <f t="shared" si="31"/>
        <v>○</v>
      </c>
      <c r="AK45" s="8">
        <f t="shared" si="32"/>
        <v>25000</v>
      </c>
      <c r="AL45" s="10" t="str">
        <f t="shared" si="33"/>
        <v>○</v>
      </c>
      <c r="AM45" s="8">
        <f t="shared" si="34"/>
        <v>20833.333333333332</v>
      </c>
      <c r="AN45" s="10" t="str">
        <f t="shared" si="35"/>
        <v>○</v>
      </c>
      <c r="AO45" s="8">
        <f t="shared" si="36"/>
        <v>25000</v>
      </c>
      <c r="AP45" s="10" t="str">
        <f t="shared" si="37"/>
        <v>○</v>
      </c>
      <c r="AQ45" s="8">
        <f t="shared" si="38"/>
        <v>25000</v>
      </c>
      <c r="AR45" s="10" t="str">
        <f t="shared" si="39"/>
        <v>○</v>
      </c>
      <c r="AS45" s="8">
        <f t="shared" si="40"/>
        <v>20833.333333333332</v>
      </c>
      <c r="AT45" s="10" t="str">
        <f t="shared" si="41"/>
        <v>○</v>
      </c>
      <c r="AU45" s="8">
        <f t="shared" si="42"/>
        <v>25000</v>
      </c>
      <c r="AV45" s="10" t="str">
        <f t="shared" si="43"/>
        <v>○</v>
      </c>
      <c r="AW45" s="8">
        <f t="shared" si="44"/>
        <v>25000</v>
      </c>
      <c r="AX45" s="10" t="str">
        <f t="shared" si="45"/>
        <v>○</v>
      </c>
      <c r="AY45" s="8">
        <f t="shared" si="46"/>
        <v>20833.333333333332</v>
      </c>
      <c r="AZ45" s="10" t="str">
        <f t="shared" si="47"/>
        <v>○</v>
      </c>
      <c r="BA45" s="8" t="str">
        <f t="shared" si="48"/>
        <v/>
      </c>
      <c r="BB45" s="10" t="str">
        <f t="shared" si="49"/>
        <v>△</v>
      </c>
      <c r="BC45" s="8" t="str">
        <f t="shared" si="50"/>
        <v/>
      </c>
      <c r="BD45" s="10" t="str">
        <f t="shared" si="51"/>
        <v>△</v>
      </c>
      <c r="BE45" s="8" t="str">
        <f t="shared" si="52"/>
        <v/>
      </c>
      <c r="BF45" s="10" t="str">
        <f t="shared" si="53"/>
        <v>△</v>
      </c>
      <c r="BG45" s="8">
        <f t="shared" si="54"/>
        <v>25000</v>
      </c>
      <c r="BH45" s="10" t="str">
        <f t="shared" si="55"/>
        <v>○</v>
      </c>
      <c r="BI45" s="8">
        <f t="shared" si="56"/>
        <v>25000</v>
      </c>
      <c r="BJ45" s="1" t="s">
        <v>977</v>
      </c>
      <c r="BK45" s="1" t="s">
        <v>1102</v>
      </c>
      <c r="BL45" s="1" t="s">
        <v>1102</v>
      </c>
      <c r="BM45" s="1" t="s">
        <v>977</v>
      </c>
      <c r="BN45" s="1" t="s">
        <v>1102</v>
      </c>
      <c r="BO45" s="1" t="s">
        <v>1102</v>
      </c>
      <c r="BP45" s="1" t="s">
        <v>1103</v>
      </c>
      <c r="BQ45" s="1" t="s">
        <v>1103</v>
      </c>
      <c r="BR45" s="1" t="s">
        <v>1103</v>
      </c>
      <c r="BS45" s="1" t="s">
        <v>622</v>
      </c>
      <c r="BT45" s="1" t="s">
        <v>1103</v>
      </c>
    </row>
    <row r="46" spans="1:72" x14ac:dyDescent="0.3">
      <c r="A46">
        <v>45</v>
      </c>
      <c r="B46" t="s">
        <v>40</v>
      </c>
      <c r="C46" t="s">
        <v>667</v>
      </c>
      <c r="D46" t="s">
        <v>47</v>
      </c>
      <c r="E46" t="s">
        <v>832</v>
      </c>
      <c r="F46" t="s">
        <v>282</v>
      </c>
      <c r="G46" t="s">
        <v>479</v>
      </c>
      <c r="H46">
        <v>1</v>
      </c>
      <c r="I46" s="8">
        <v>50000</v>
      </c>
      <c r="J46" s="8">
        <v>5</v>
      </c>
      <c r="K46" s="39"/>
      <c r="L46" s="8"/>
      <c r="M46" s="8"/>
      <c r="N46" s="8"/>
      <c r="O46" s="8"/>
      <c r="P46" s="8">
        <f t="shared" si="0"/>
        <v>833.33333333333337</v>
      </c>
      <c r="Q46" s="8">
        <v>1</v>
      </c>
      <c r="R46" s="8">
        <v>250000</v>
      </c>
      <c r="S46" s="8">
        <v>5</v>
      </c>
      <c r="T46" s="39"/>
      <c r="U46" s="8"/>
      <c r="V46" s="8"/>
      <c r="W46" s="8"/>
      <c r="X46" s="8"/>
      <c r="Y46" s="8">
        <f t="shared" si="28"/>
        <v>4166.666666666667</v>
      </c>
      <c r="Z46" s="8">
        <v>1</v>
      </c>
      <c r="AA46" s="8">
        <v>35000</v>
      </c>
      <c r="AB46" s="8">
        <v>2</v>
      </c>
      <c r="AC46" s="39"/>
      <c r="AD46" s="8"/>
      <c r="AE46" s="8"/>
      <c r="AF46" s="8"/>
      <c r="AG46" s="8"/>
      <c r="AH46" s="8">
        <f t="shared" si="29"/>
        <v>1458.3333333333333</v>
      </c>
      <c r="AI46" s="8">
        <f t="shared" si="30"/>
        <v>833.33333333333337</v>
      </c>
      <c r="AJ46" s="10" t="str">
        <f t="shared" si="31"/>
        <v>○</v>
      </c>
      <c r="AK46" s="8">
        <f t="shared" si="32"/>
        <v>4166.666666666667</v>
      </c>
      <c r="AL46" s="10" t="str">
        <f t="shared" si="33"/>
        <v>○</v>
      </c>
      <c r="AM46" s="8">
        <f t="shared" si="34"/>
        <v>1458.3333333333333</v>
      </c>
      <c r="AN46" s="10" t="str">
        <f t="shared" si="35"/>
        <v>○</v>
      </c>
      <c r="AO46" s="8">
        <f t="shared" si="36"/>
        <v>833.33333333333337</v>
      </c>
      <c r="AP46" s="10" t="str">
        <f t="shared" si="37"/>
        <v>○</v>
      </c>
      <c r="AQ46" s="8">
        <f t="shared" si="38"/>
        <v>4166.666666666667</v>
      </c>
      <c r="AR46" s="10" t="str">
        <f t="shared" si="39"/>
        <v>○</v>
      </c>
      <c r="AS46" s="8">
        <f t="shared" si="40"/>
        <v>1458.3333333333333</v>
      </c>
      <c r="AT46" s="10" t="str">
        <f t="shared" si="41"/>
        <v>○</v>
      </c>
      <c r="AU46" s="8">
        <f t="shared" si="42"/>
        <v>833.33333333333337</v>
      </c>
      <c r="AV46" s="10" t="str">
        <f t="shared" si="43"/>
        <v>○</v>
      </c>
      <c r="AW46" s="8">
        <f t="shared" si="44"/>
        <v>4166.666666666667</v>
      </c>
      <c r="AX46" s="10" t="str">
        <f t="shared" si="45"/>
        <v>○</v>
      </c>
      <c r="AY46" s="8">
        <f t="shared" si="46"/>
        <v>1458.3333333333333</v>
      </c>
      <c r="AZ46" s="10" t="str">
        <f t="shared" si="47"/>
        <v>○</v>
      </c>
      <c r="BA46" s="8" t="str">
        <f t="shared" si="48"/>
        <v/>
      </c>
      <c r="BB46" s="10" t="str">
        <f t="shared" si="49"/>
        <v>△</v>
      </c>
      <c r="BC46" s="8" t="str">
        <f t="shared" si="50"/>
        <v/>
      </c>
      <c r="BD46" s="10" t="str">
        <f t="shared" si="51"/>
        <v>△</v>
      </c>
      <c r="BE46" s="8" t="str">
        <f t="shared" si="52"/>
        <v/>
      </c>
      <c r="BF46" s="10" t="str">
        <f t="shared" si="53"/>
        <v>△</v>
      </c>
      <c r="BG46" s="8">
        <f t="shared" si="54"/>
        <v>833.33333333333337</v>
      </c>
      <c r="BH46" s="10" t="str">
        <f t="shared" si="55"/>
        <v>○</v>
      </c>
      <c r="BI46" s="8">
        <f t="shared" si="56"/>
        <v>4166.666666666667</v>
      </c>
      <c r="BJ46" s="1" t="s">
        <v>977</v>
      </c>
      <c r="BK46" s="1" t="s">
        <v>1102</v>
      </c>
      <c r="BL46" s="1" t="s">
        <v>977</v>
      </c>
      <c r="BM46" s="1" t="s">
        <v>977</v>
      </c>
      <c r="BN46" s="1" t="s">
        <v>1102</v>
      </c>
      <c r="BO46" s="1" t="s">
        <v>1102</v>
      </c>
      <c r="BP46" s="1" t="s">
        <v>1103</v>
      </c>
      <c r="BQ46" s="1" t="s">
        <v>1103</v>
      </c>
      <c r="BR46" s="1" t="s">
        <v>1103</v>
      </c>
      <c r="BS46" s="1" t="s">
        <v>622</v>
      </c>
      <c r="BT46" s="1" t="s">
        <v>1103</v>
      </c>
    </row>
    <row r="47" spans="1:72" x14ac:dyDescent="0.3">
      <c r="A47">
        <v>46</v>
      </c>
      <c r="B47" t="s">
        <v>40</v>
      </c>
      <c r="C47" t="s">
        <v>668</v>
      </c>
      <c r="D47" t="s">
        <v>47</v>
      </c>
      <c r="E47" t="s">
        <v>834</v>
      </c>
      <c r="F47" t="s">
        <v>283</v>
      </c>
      <c r="G47" t="s">
        <v>481</v>
      </c>
      <c r="H47">
        <v>1</v>
      </c>
      <c r="I47" s="8">
        <v>450000</v>
      </c>
      <c r="J47" s="8">
        <f>8/12</f>
        <v>0.66666666666666663</v>
      </c>
      <c r="K47" s="39"/>
      <c r="L47" s="8"/>
      <c r="M47" s="8"/>
      <c r="N47" s="8"/>
      <c r="O47" s="8"/>
      <c r="P47" s="8">
        <f t="shared" si="0"/>
        <v>56250</v>
      </c>
      <c r="Q47" s="8">
        <v>1</v>
      </c>
      <c r="R47" s="8">
        <v>1200000</v>
      </c>
      <c r="S47" s="8">
        <v>1</v>
      </c>
      <c r="T47" s="39"/>
      <c r="U47" s="8"/>
      <c r="V47" s="8"/>
      <c r="W47" s="8"/>
      <c r="X47" s="8"/>
      <c r="Y47" s="8">
        <f t="shared" si="28"/>
        <v>100000</v>
      </c>
      <c r="Z47" s="8">
        <v>1</v>
      </c>
      <c r="AA47" s="8"/>
      <c r="AB47" s="8"/>
      <c r="AC47" s="39">
        <v>8.3333333333333329E-2</v>
      </c>
      <c r="AD47" s="8">
        <v>12</v>
      </c>
      <c r="AE47" s="8">
        <v>30000</v>
      </c>
      <c r="AF47" s="8"/>
      <c r="AG47" s="8"/>
      <c r="AH47" s="8" t="str">
        <f t="shared" si="29"/>
        <v/>
      </c>
      <c r="AI47" s="8">
        <f t="shared" si="30"/>
        <v>56250</v>
      </c>
      <c r="AJ47" s="10" t="str">
        <f t="shared" si="31"/>
        <v>○</v>
      </c>
      <c r="AK47" s="8">
        <f t="shared" si="32"/>
        <v>100000</v>
      </c>
      <c r="AL47" s="10" t="str">
        <f t="shared" si="33"/>
        <v>○</v>
      </c>
      <c r="AM47" s="8" t="str">
        <f t="shared" si="34"/>
        <v/>
      </c>
      <c r="AN47" s="10" t="str">
        <f t="shared" si="35"/>
        <v>○</v>
      </c>
      <c r="AO47" s="8">
        <f t="shared" si="36"/>
        <v>56250</v>
      </c>
      <c r="AP47" s="10" t="str">
        <f t="shared" si="37"/>
        <v>○</v>
      </c>
      <c r="AQ47" s="8">
        <f t="shared" si="38"/>
        <v>100000</v>
      </c>
      <c r="AR47" s="10" t="str">
        <f t="shared" si="39"/>
        <v>○</v>
      </c>
      <c r="AS47" s="8" t="str">
        <f t="shared" si="40"/>
        <v/>
      </c>
      <c r="AT47" s="10" t="str">
        <f t="shared" si="41"/>
        <v>○</v>
      </c>
      <c r="AU47" s="8">
        <f t="shared" si="42"/>
        <v>56250</v>
      </c>
      <c r="AV47" s="10" t="str">
        <f t="shared" si="43"/>
        <v>○</v>
      </c>
      <c r="AW47" s="8">
        <f t="shared" si="44"/>
        <v>100000</v>
      </c>
      <c r="AX47" s="10" t="str">
        <f t="shared" si="45"/>
        <v>○</v>
      </c>
      <c r="AY47" s="8" t="str">
        <f t="shared" si="46"/>
        <v/>
      </c>
      <c r="AZ47" s="10" t="str">
        <f t="shared" si="47"/>
        <v>○</v>
      </c>
      <c r="BA47" s="8" t="str">
        <f t="shared" si="48"/>
        <v/>
      </c>
      <c r="BB47" s="10" t="str">
        <f t="shared" si="49"/>
        <v>△</v>
      </c>
      <c r="BC47" s="8" t="str">
        <f t="shared" si="50"/>
        <v/>
      </c>
      <c r="BD47" s="10" t="str">
        <f t="shared" si="51"/>
        <v>△</v>
      </c>
      <c r="BE47" s="8" t="str">
        <f t="shared" si="52"/>
        <v/>
      </c>
      <c r="BF47" s="10" t="str">
        <f t="shared" si="53"/>
        <v>△</v>
      </c>
      <c r="BG47" s="8">
        <f t="shared" si="54"/>
        <v>56250</v>
      </c>
      <c r="BH47" s="10" t="str">
        <f t="shared" si="55"/>
        <v>○</v>
      </c>
      <c r="BI47" s="8">
        <f t="shared" si="56"/>
        <v>100000</v>
      </c>
      <c r="BJ47" s="1" t="s">
        <v>977</v>
      </c>
      <c r="BK47" s="1" t="s">
        <v>1102</v>
      </c>
      <c r="BL47" s="1" t="s">
        <v>977</v>
      </c>
      <c r="BM47" s="1" t="s">
        <v>977</v>
      </c>
      <c r="BN47" s="1" t="s">
        <v>1102</v>
      </c>
      <c r="BO47" s="1" t="s">
        <v>1102</v>
      </c>
      <c r="BP47" s="1" t="s">
        <v>1103</v>
      </c>
      <c r="BQ47" s="1" t="s">
        <v>1103</v>
      </c>
      <c r="BR47" s="1" t="s">
        <v>1103</v>
      </c>
      <c r="BS47" s="1" t="s">
        <v>622</v>
      </c>
      <c r="BT47" s="1" t="s">
        <v>1103</v>
      </c>
    </row>
    <row r="48" spans="1:72" x14ac:dyDescent="0.3">
      <c r="A48">
        <v>47</v>
      </c>
      <c r="B48" t="s">
        <v>40</v>
      </c>
      <c r="C48" t="s">
        <v>669</v>
      </c>
      <c r="D48" t="s">
        <v>36</v>
      </c>
      <c r="E48" t="s">
        <v>670</v>
      </c>
      <c r="F48" t="s">
        <v>273</v>
      </c>
      <c r="G48" t="s">
        <v>451</v>
      </c>
      <c r="H48">
        <v>2</v>
      </c>
      <c r="I48" s="8"/>
      <c r="J48" s="8"/>
      <c r="K48" s="39">
        <v>8.3333333333333329E-2</v>
      </c>
      <c r="L48" s="8">
        <v>12</v>
      </c>
      <c r="M48" s="8">
        <v>3000</v>
      </c>
      <c r="N48" s="8"/>
      <c r="O48" s="8"/>
      <c r="P48" s="8">
        <f t="shared" si="0"/>
        <v>3000</v>
      </c>
      <c r="Q48" s="8">
        <v>1</v>
      </c>
      <c r="R48" s="8">
        <v>200000</v>
      </c>
      <c r="S48" s="8">
        <v>1</v>
      </c>
      <c r="T48" s="39"/>
      <c r="U48" s="8"/>
      <c r="V48" s="8"/>
      <c r="W48" s="8"/>
      <c r="X48" s="8"/>
      <c r="Y48" s="8">
        <f t="shared" si="28"/>
        <v>16666.666666666668</v>
      </c>
      <c r="Z48" s="8">
        <v>2</v>
      </c>
      <c r="AA48" s="8"/>
      <c r="AB48" s="8"/>
      <c r="AC48" s="39">
        <v>8.3333333333333329E-2</v>
      </c>
      <c r="AD48" s="8">
        <v>12</v>
      </c>
      <c r="AE48" s="8">
        <v>2000</v>
      </c>
      <c r="AF48" s="8"/>
      <c r="AG48" s="8"/>
      <c r="AH48" s="8">
        <f t="shared" si="29"/>
        <v>2000</v>
      </c>
      <c r="AI48" s="8">
        <f t="shared" si="30"/>
        <v>3000</v>
      </c>
      <c r="AJ48" s="10" t="str">
        <f t="shared" si="31"/>
        <v>○</v>
      </c>
      <c r="AK48" s="8">
        <f t="shared" si="32"/>
        <v>16666.666666666668</v>
      </c>
      <c r="AL48" s="10" t="str">
        <f t="shared" si="33"/>
        <v>○</v>
      </c>
      <c r="AM48" s="8">
        <f t="shared" si="34"/>
        <v>2000</v>
      </c>
      <c r="AN48" s="10" t="str">
        <f t="shared" si="35"/>
        <v>○</v>
      </c>
      <c r="AO48" s="8">
        <f t="shared" si="36"/>
        <v>3000</v>
      </c>
      <c r="AP48" s="10" t="str">
        <f t="shared" si="37"/>
        <v>○</v>
      </c>
      <c r="AQ48" s="8">
        <f t="shared" si="38"/>
        <v>16666.666666666668</v>
      </c>
      <c r="AR48" s="10" t="str">
        <f t="shared" si="39"/>
        <v>○</v>
      </c>
      <c r="AS48" s="8">
        <f t="shared" si="40"/>
        <v>2000</v>
      </c>
      <c r="AT48" s="10" t="str">
        <f t="shared" si="41"/>
        <v>○</v>
      </c>
      <c r="AU48" s="8">
        <f t="shared" si="42"/>
        <v>3000</v>
      </c>
      <c r="AV48" s="10" t="str">
        <f t="shared" si="43"/>
        <v>○</v>
      </c>
      <c r="AW48" s="8">
        <f t="shared" si="44"/>
        <v>16666.666666666668</v>
      </c>
      <c r="AX48" s="10" t="str">
        <f t="shared" si="45"/>
        <v>○</v>
      </c>
      <c r="AY48" s="8">
        <f t="shared" si="46"/>
        <v>2000</v>
      </c>
      <c r="AZ48" s="10" t="str">
        <f t="shared" si="47"/>
        <v>○</v>
      </c>
      <c r="BA48" s="8">
        <f t="shared" si="48"/>
        <v>3000</v>
      </c>
      <c r="BB48" s="10" t="str">
        <f t="shared" si="49"/>
        <v>○</v>
      </c>
      <c r="BC48" s="8">
        <f t="shared" si="50"/>
        <v>16666.666666666668</v>
      </c>
      <c r="BD48" s="10" t="str">
        <f t="shared" si="51"/>
        <v>○</v>
      </c>
      <c r="BE48" s="8">
        <f t="shared" si="52"/>
        <v>2000</v>
      </c>
      <c r="BF48" s="10" t="str">
        <f t="shared" si="53"/>
        <v>○</v>
      </c>
      <c r="BG48" s="8">
        <f t="shared" si="54"/>
        <v>3000</v>
      </c>
      <c r="BH48" s="10" t="str">
        <f t="shared" si="55"/>
        <v>○</v>
      </c>
      <c r="BI48" s="8">
        <f t="shared" si="56"/>
        <v>16666.666666666668</v>
      </c>
      <c r="BJ48" s="1" t="s">
        <v>977</v>
      </c>
      <c r="BK48" s="1" t="s">
        <v>1102</v>
      </c>
      <c r="BL48" s="1" t="s">
        <v>977</v>
      </c>
      <c r="BM48" s="1" t="s">
        <v>977</v>
      </c>
      <c r="BN48" s="1" t="s">
        <v>1102</v>
      </c>
      <c r="BO48" s="1" t="s">
        <v>1102</v>
      </c>
      <c r="BP48" s="1" t="s">
        <v>1103</v>
      </c>
      <c r="BQ48" s="1" t="s">
        <v>1103</v>
      </c>
      <c r="BR48" s="1" t="s">
        <v>1103</v>
      </c>
      <c r="BS48" s="1" t="s">
        <v>1103</v>
      </c>
      <c r="BT48" s="1" t="s">
        <v>1103</v>
      </c>
    </row>
    <row r="49" spans="1:72" x14ac:dyDescent="0.3">
      <c r="A49">
        <v>48</v>
      </c>
      <c r="B49" t="s">
        <v>40</v>
      </c>
      <c r="C49" t="s">
        <v>671</v>
      </c>
      <c r="D49" t="s">
        <v>1075</v>
      </c>
      <c r="E49" t="s">
        <v>760</v>
      </c>
      <c r="F49" t="s">
        <v>920</v>
      </c>
      <c r="G49" t="s">
        <v>921</v>
      </c>
      <c r="H49">
        <v>2</v>
      </c>
      <c r="I49" s="8"/>
      <c r="J49" s="8"/>
      <c r="K49" s="39">
        <v>8.3333333333333329E-2</v>
      </c>
      <c r="L49" s="8">
        <v>6</v>
      </c>
      <c r="M49" s="8">
        <v>50000</v>
      </c>
      <c r="N49" s="8"/>
      <c r="O49" s="8"/>
      <c r="P49" s="8">
        <f t="shared" si="0"/>
        <v>25000</v>
      </c>
      <c r="Q49" s="8">
        <v>2</v>
      </c>
      <c r="R49" s="8"/>
      <c r="S49" s="8"/>
      <c r="T49" s="39">
        <v>8.3333333333333329E-2</v>
      </c>
      <c r="U49" s="8">
        <v>12</v>
      </c>
      <c r="V49" s="8">
        <v>150000</v>
      </c>
      <c r="W49" s="8"/>
      <c r="X49" s="8"/>
      <c r="Y49" s="8">
        <f t="shared" si="28"/>
        <v>150000</v>
      </c>
      <c r="Z49" s="8">
        <v>2</v>
      </c>
      <c r="AA49" s="8"/>
      <c r="AB49" s="8"/>
      <c r="AC49" s="39"/>
      <c r="AD49" s="8"/>
      <c r="AE49" s="8"/>
      <c r="AF49" s="8"/>
      <c r="AG49" s="8"/>
      <c r="AH49" s="8" t="str">
        <f t="shared" si="29"/>
        <v/>
      </c>
      <c r="AI49" s="8" t="str">
        <f t="shared" si="30"/>
        <v/>
      </c>
      <c r="AJ49" s="10" t="str">
        <f t="shared" si="31"/>
        <v>X</v>
      </c>
      <c r="AK49" s="8" t="str">
        <f t="shared" si="32"/>
        <v/>
      </c>
      <c r="AL49" s="10" t="str">
        <f t="shared" si="33"/>
        <v>X</v>
      </c>
      <c r="AM49" s="8" t="str">
        <f t="shared" si="34"/>
        <v/>
      </c>
      <c r="AN49" s="10" t="str">
        <f t="shared" si="35"/>
        <v>X</v>
      </c>
      <c r="AO49" s="8">
        <f t="shared" si="36"/>
        <v>25000</v>
      </c>
      <c r="AP49" s="10" t="str">
        <f t="shared" si="37"/>
        <v>○</v>
      </c>
      <c r="AQ49" s="8">
        <f t="shared" si="38"/>
        <v>150000</v>
      </c>
      <c r="AR49" s="10" t="str">
        <f t="shared" si="39"/>
        <v>○</v>
      </c>
      <c r="AS49" s="8" t="str">
        <f t="shared" si="40"/>
        <v/>
      </c>
      <c r="AT49" s="10" t="str">
        <f t="shared" si="41"/>
        <v>○</v>
      </c>
      <c r="AU49" s="8">
        <f t="shared" si="42"/>
        <v>25000</v>
      </c>
      <c r="AV49" s="10" t="str">
        <f t="shared" si="43"/>
        <v>○</v>
      </c>
      <c r="AW49" s="8">
        <f t="shared" si="44"/>
        <v>150000</v>
      </c>
      <c r="AX49" s="10" t="str">
        <f t="shared" si="45"/>
        <v>○</v>
      </c>
      <c r="AY49" s="8" t="str">
        <f t="shared" si="46"/>
        <v/>
      </c>
      <c r="AZ49" s="10" t="str">
        <f t="shared" si="47"/>
        <v>○</v>
      </c>
      <c r="BA49" s="8">
        <f t="shared" si="48"/>
        <v>25000</v>
      </c>
      <c r="BB49" s="10" t="str">
        <f t="shared" si="49"/>
        <v>○</v>
      </c>
      <c r="BC49" s="8">
        <f t="shared" si="50"/>
        <v>150000</v>
      </c>
      <c r="BD49" s="10" t="str">
        <f t="shared" si="51"/>
        <v>○</v>
      </c>
      <c r="BE49" s="8" t="str">
        <f t="shared" si="52"/>
        <v/>
      </c>
      <c r="BF49" s="10" t="str">
        <f t="shared" si="53"/>
        <v>○</v>
      </c>
      <c r="BG49" s="8" t="str">
        <f t="shared" si="54"/>
        <v/>
      </c>
      <c r="BH49" s="10" t="str">
        <f t="shared" si="55"/>
        <v>X</v>
      </c>
      <c r="BI49" s="8" t="str">
        <f t="shared" si="56"/>
        <v/>
      </c>
      <c r="BJ49" s="1" t="s">
        <v>977</v>
      </c>
      <c r="BK49" s="1" t="s">
        <v>1102</v>
      </c>
      <c r="BL49" s="1" t="s">
        <v>1102</v>
      </c>
      <c r="BM49" s="1" t="s">
        <v>977</v>
      </c>
      <c r="BN49" s="1" t="s">
        <v>1102</v>
      </c>
      <c r="BO49" s="1" t="s">
        <v>1102</v>
      </c>
      <c r="BP49" s="1" t="s">
        <v>1101</v>
      </c>
      <c r="BQ49" s="1" t="s">
        <v>1103</v>
      </c>
      <c r="BR49" s="1" t="s">
        <v>1103</v>
      </c>
      <c r="BS49" s="1" t="s">
        <v>1103</v>
      </c>
      <c r="BT49" s="1" t="s">
        <v>1101</v>
      </c>
    </row>
    <row r="50" spans="1:72" x14ac:dyDescent="0.3">
      <c r="A50">
        <v>49</v>
      </c>
      <c r="B50" t="s">
        <v>40</v>
      </c>
      <c r="C50" t="s">
        <v>672</v>
      </c>
      <c r="D50" t="s">
        <v>63</v>
      </c>
      <c r="E50" t="s">
        <v>673</v>
      </c>
      <c r="F50" t="s">
        <v>922</v>
      </c>
      <c r="G50" t="s">
        <v>923</v>
      </c>
      <c r="H50">
        <v>2</v>
      </c>
      <c r="I50" s="8"/>
      <c r="J50" s="8"/>
      <c r="K50" s="39">
        <v>8.3333333333333329E-2</v>
      </c>
      <c r="L50" s="8">
        <v>12</v>
      </c>
      <c r="M50" s="8">
        <v>30000</v>
      </c>
      <c r="N50" s="8"/>
      <c r="O50" s="8"/>
      <c r="P50" s="8">
        <f t="shared" si="0"/>
        <v>30000</v>
      </c>
      <c r="Q50" s="8">
        <v>2</v>
      </c>
      <c r="R50" s="8"/>
      <c r="S50" s="8"/>
      <c r="T50" s="39">
        <v>8.3333333333333329E-2</v>
      </c>
      <c r="U50" s="8">
        <v>12</v>
      </c>
      <c r="V50" s="8">
        <v>200000</v>
      </c>
      <c r="W50" s="8"/>
      <c r="X50" s="8"/>
      <c r="Y50" s="8">
        <f t="shared" si="28"/>
        <v>200000</v>
      </c>
      <c r="Z50" s="8">
        <v>2</v>
      </c>
      <c r="AA50" s="8"/>
      <c r="AB50" s="8"/>
      <c r="AC50" s="39">
        <v>8.3333333333333329E-2</v>
      </c>
      <c r="AD50" s="8">
        <v>12</v>
      </c>
      <c r="AE50" s="8">
        <f>10000+50000</f>
        <v>60000</v>
      </c>
      <c r="AF50" s="8"/>
      <c r="AG50" s="8"/>
      <c r="AH50" s="8">
        <f t="shared" si="29"/>
        <v>60000</v>
      </c>
      <c r="AI50" s="8" t="str">
        <f t="shared" si="30"/>
        <v/>
      </c>
      <c r="AJ50" s="10" t="str">
        <f t="shared" si="31"/>
        <v>△</v>
      </c>
      <c r="AK50" s="8" t="str">
        <f t="shared" si="32"/>
        <v/>
      </c>
      <c r="AL50" s="10" t="str">
        <f t="shared" si="33"/>
        <v>△</v>
      </c>
      <c r="AM50" s="8" t="str">
        <f t="shared" si="34"/>
        <v/>
      </c>
      <c r="AN50" s="10" t="str">
        <f t="shared" si="35"/>
        <v>△</v>
      </c>
      <c r="AO50" s="8" t="str">
        <f t="shared" si="36"/>
        <v/>
      </c>
      <c r="AP50" s="10" t="str">
        <f t="shared" si="37"/>
        <v>△</v>
      </c>
      <c r="AQ50" s="8" t="str">
        <f t="shared" si="38"/>
        <v/>
      </c>
      <c r="AR50" s="10" t="str">
        <f t="shared" si="39"/>
        <v>△</v>
      </c>
      <c r="AS50" s="8" t="str">
        <f t="shared" si="40"/>
        <v/>
      </c>
      <c r="AT50" s="10" t="str">
        <f t="shared" si="41"/>
        <v>△</v>
      </c>
      <c r="AU50" s="8" t="str">
        <f t="shared" si="42"/>
        <v/>
      </c>
      <c r="AV50" s="10" t="str">
        <f t="shared" si="43"/>
        <v>△</v>
      </c>
      <c r="AW50" s="8" t="str">
        <f t="shared" si="44"/>
        <v/>
      </c>
      <c r="AX50" s="10" t="str">
        <f t="shared" si="45"/>
        <v>△</v>
      </c>
      <c r="AY50" s="8" t="str">
        <f t="shared" si="46"/>
        <v/>
      </c>
      <c r="AZ50" s="10" t="str">
        <f t="shared" si="47"/>
        <v>△</v>
      </c>
      <c r="BA50" s="8" t="str">
        <f t="shared" si="48"/>
        <v/>
      </c>
      <c r="BB50" s="10" t="str">
        <f t="shared" si="49"/>
        <v>△</v>
      </c>
      <c r="BC50" s="8" t="str">
        <f t="shared" si="50"/>
        <v/>
      </c>
      <c r="BD50" s="10" t="str">
        <f t="shared" si="51"/>
        <v>△</v>
      </c>
      <c r="BE50" s="8" t="str">
        <f t="shared" si="52"/>
        <v/>
      </c>
      <c r="BF50" s="10" t="str">
        <f t="shared" si="53"/>
        <v>△</v>
      </c>
      <c r="BG50" s="8" t="str">
        <f t="shared" si="54"/>
        <v/>
      </c>
      <c r="BH50" s="10" t="str">
        <f t="shared" si="55"/>
        <v>△</v>
      </c>
      <c r="BI50" s="8" t="str">
        <f t="shared" si="56"/>
        <v/>
      </c>
      <c r="BJ50" s="1" t="s">
        <v>977</v>
      </c>
      <c r="BK50" s="1" t="s">
        <v>1102</v>
      </c>
      <c r="BL50" s="1" t="s">
        <v>977</v>
      </c>
      <c r="BM50" s="1" t="s">
        <v>977</v>
      </c>
      <c r="BN50" s="1" t="s">
        <v>1102</v>
      </c>
      <c r="BO50" s="1" t="s">
        <v>1102</v>
      </c>
      <c r="BP50" s="1" t="s">
        <v>622</v>
      </c>
      <c r="BQ50" s="1" t="s">
        <v>622</v>
      </c>
      <c r="BR50" s="1" t="s">
        <v>622</v>
      </c>
      <c r="BS50" s="1" t="s">
        <v>622</v>
      </c>
      <c r="BT50" s="1" t="s">
        <v>622</v>
      </c>
    </row>
    <row r="51" spans="1:72" x14ac:dyDescent="0.3">
      <c r="A51">
        <v>50</v>
      </c>
      <c r="B51" t="s">
        <v>40</v>
      </c>
      <c r="C51" t="s">
        <v>674</v>
      </c>
      <c r="D51" t="s">
        <v>124</v>
      </c>
      <c r="E51" t="s">
        <v>761</v>
      </c>
      <c r="F51" t="s">
        <v>924</v>
      </c>
      <c r="G51" t="s">
        <v>925</v>
      </c>
      <c r="H51">
        <v>2</v>
      </c>
      <c r="I51" s="8"/>
      <c r="J51" s="8"/>
      <c r="K51" s="39">
        <v>8.3333333333333329E-2</v>
      </c>
      <c r="L51" s="8">
        <v>3</v>
      </c>
      <c r="M51" s="8">
        <v>50000</v>
      </c>
      <c r="N51" s="8"/>
      <c r="O51" s="8"/>
      <c r="P51" s="8">
        <f t="shared" si="0"/>
        <v>12500</v>
      </c>
      <c r="Q51" s="8">
        <v>2</v>
      </c>
      <c r="R51" s="8"/>
      <c r="S51" s="8"/>
      <c r="T51" s="39">
        <v>8.3333333333333329E-2</v>
      </c>
      <c r="U51" s="8">
        <v>12</v>
      </c>
      <c r="V51" s="8">
        <v>100000</v>
      </c>
      <c r="W51" s="8"/>
      <c r="X51" s="8"/>
      <c r="Y51" s="8">
        <f t="shared" si="28"/>
        <v>100000</v>
      </c>
      <c r="Z51" s="8">
        <v>3</v>
      </c>
      <c r="AA51" s="8"/>
      <c r="AB51" s="8"/>
      <c r="AC51" s="39"/>
      <c r="AD51" s="8"/>
      <c r="AE51" s="8"/>
      <c r="AF51" s="8">
        <v>1000000</v>
      </c>
      <c r="AG51" s="8">
        <v>1</v>
      </c>
      <c r="AH51" s="8">
        <f t="shared" si="29"/>
        <v>83333.333333333328</v>
      </c>
      <c r="AI51" s="8" t="str">
        <f t="shared" si="30"/>
        <v/>
      </c>
      <c r="AJ51" s="10" t="str">
        <f t="shared" si="31"/>
        <v>△</v>
      </c>
      <c r="AK51" s="8" t="str">
        <f t="shared" si="32"/>
        <v/>
      </c>
      <c r="AL51" s="10" t="str">
        <f t="shared" si="33"/>
        <v>△</v>
      </c>
      <c r="AM51" s="8" t="str">
        <f t="shared" si="34"/>
        <v/>
      </c>
      <c r="AN51" s="10" t="str">
        <f t="shared" si="35"/>
        <v>△</v>
      </c>
      <c r="AO51" s="8" t="str">
        <f t="shared" si="36"/>
        <v/>
      </c>
      <c r="AP51" s="10" t="str">
        <f t="shared" si="37"/>
        <v>△</v>
      </c>
      <c r="AQ51" s="8" t="str">
        <f t="shared" si="38"/>
        <v/>
      </c>
      <c r="AR51" s="10" t="str">
        <f t="shared" si="39"/>
        <v>△</v>
      </c>
      <c r="AS51" s="8" t="str">
        <f t="shared" si="40"/>
        <v/>
      </c>
      <c r="AT51" s="10" t="str">
        <f t="shared" si="41"/>
        <v>△</v>
      </c>
      <c r="AU51" s="8" t="str">
        <f t="shared" si="42"/>
        <v/>
      </c>
      <c r="AV51" s="10" t="str">
        <f t="shared" si="43"/>
        <v>△</v>
      </c>
      <c r="AW51" s="8" t="str">
        <f t="shared" si="44"/>
        <v/>
      </c>
      <c r="AX51" s="10" t="str">
        <f t="shared" si="45"/>
        <v>△</v>
      </c>
      <c r="AY51" s="8" t="str">
        <f t="shared" si="46"/>
        <v/>
      </c>
      <c r="AZ51" s="10" t="str">
        <f t="shared" si="47"/>
        <v>△</v>
      </c>
      <c r="BA51" s="8" t="str">
        <f t="shared" si="48"/>
        <v/>
      </c>
      <c r="BB51" s="10" t="str">
        <f t="shared" si="49"/>
        <v>△</v>
      </c>
      <c r="BC51" s="8" t="str">
        <f t="shared" si="50"/>
        <v/>
      </c>
      <c r="BD51" s="10" t="str">
        <f t="shared" si="51"/>
        <v>△</v>
      </c>
      <c r="BE51" s="8" t="str">
        <f t="shared" si="52"/>
        <v/>
      </c>
      <c r="BF51" s="10" t="str">
        <f t="shared" si="53"/>
        <v>△</v>
      </c>
      <c r="BG51" s="8" t="str">
        <f t="shared" si="54"/>
        <v/>
      </c>
      <c r="BH51" s="10" t="str">
        <f t="shared" si="55"/>
        <v>△</v>
      </c>
      <c r="BI51" s="8" t="str">
        <f t="shared" si="56"/>
        <v/>
      </c>
      <c r="BJ51" s="1" t="s">
        <v>977</v>
      </c>
      <c r="BK51" s="1" t="s">
        <v>1102</v>
      </c>
      <c r="BL51" s="1" t="s">
        <v>1102</v>
      </c>
      <c r="BM51" s="1" t="s">
        <v>977</v>
      </c>
      <c r="BN51" s="1" t="s">
        <v>1102</v>
      </c>
      <c r="BO51" s="1" t="s">
        <v>1102</v>
      </c>
      <c r="BP51" s="1" t="s">
        <v>622</v>
      </c>
      <c r="BQ51" s="1" t="s">
        <v>622</v>
      </c>
      <c r="BR51" s="1" t="s">
        <v>622</v>
      </c>
      <c r="BS51" s="1" t="s">
        <v>622</v>
      </c>
      <c r="BT51" s="1" t="s">
        <v>622</v>
      </c>
    </row>
    <row r="52" spans="1:72" x14ac:dyDescent="0.3">
      <c r="A52">
        <v>51</v>
      </c>
      <c r="B52" t="s">
        <v>40</v>
      </c>
      <c r="C52" t="s">
        <v>676</v>
      </c>
      <c r="D52" t="s">
        <v>36</v>
      </c>
      <c r="E52" t="s">
        <v>835</v>
      </c>
      <c r="F52" t="s">
        <v>926</v>
      </c>
      <c r="G52" t="s">
        <v>927</v>
      </c>
      <c r="H52">
        <v>2</v>
      </c>
      <c r="I52" s="8"/>
      <c r="J52" s="8"/>
      <c r="K52" s="39">
        <v>8.3333333333333329E-2</v>
      </c>
      <c r="L52" s="8">
        <v>12</v>
      </c>
      <c r="M52" s="8">
        <v>10000</v>
      </c>
      <c r="N52" s="8"/>
      <c r="O52" s="8"/>
      <c r="P52" s="8">
        <f t="shared" si="0"/>
        <v>10000</v>
      </c>
      <c r="Q52" s="8">
        <v>2</v>
      </c>
      <c r="R52" s="8"/>
      <c r="S52" s="8"/>
      <c r="T52" s="39">
        <v>8.3333333333333329E-2</v>
      </c>
      <c r="U52" s="8">
        <v>12</v>
      </c>
      <c r="V52" s="8">
        <v>50000</v>
      </c>
      <c r="W52" s="8"/>
      <c r="X52" s="8"/>
      <c r="Y52" s="8">
        <f t="shared" si="28"/>
        <v>50000</v>
      </c>
      <c r="Z52" s="8">
        <v>1</v>
      </c>
      <c r="AA52" s="8">
        <v>3000</v>
      </c>
      <c r="AB52" s="8">
        <v>1</v>
      </c>
      <c r="AC52" s="39"/>
      <c r="AD52" s="8"/>
      <c r="AE52" s="8"/>
      <c r="AF52" s="8"/>
      <c r="AG52" s="8"/>
      <c r="AH52" s="8">
        <f t="shared" si="29"/>
        <v>250</v>
      </c>
      <c r="AI52" s="8" t="str">
        <f t="shared" si="30"/>
        <v/>
      </c>
      <c r="AJ52" s="10" t="str">
        <f t="shared" si="31"/>
        <v>△</v>
      </c>
      <c r="AK52" s="8" t="str">
        <f t="shared" si="32"/>
        <v/>
      </c>
      <c r="AL52" s="10" t="str">
        <f t="shared" si="33"/>
        <v>△</v>
      </c>
      <c r="AM52" s="8" t="str">
        <f t="shared" si="34"/>
        <v/>
      </c>
      <c r="AN52" s="10" t="str">
        <f t="shared" si="35"/>
        <v>△</v>
      </c>
      <c r="AO52" s="8" t="str">
        <f t="shared" si="36"/>
        <v/>
      </c>
      <c r="AP52" s="10" t="str">
        <f t="shared" si="37"/>
        <v>△</v>
      </c>
      <c r="AQ52" s="8" t="str">
        <f t="shared" si="38"/>
        <v/>
      </c>
      <c r="AR52" s="10" t="str">
        <f t="shared" si="39"/>
        <v>△</v>
      </c>
      <c r="AS52" s="8" t="str">
        <f t="shared" si="40"/>
        <v/>
      </c>
      <c r="AT52" s="10" t="str">
        <f t="shared" si="41"/>
        <v>△</v>
      </c>
      <c r="AU52" s="8" t="str">
        <f t="shared" si="42"/>
        <v/>
      </c>
      <c r="AV52" s="10" t="str">
        <f t="shared" si="43"/>
        <v>△</v>
      </c>
      <c r="AW52" s="8" t="str">
        <f t="shared" si="44"/>
        <v/>
      </c>
      <c r="AX52" s="10" t="str">
        <f t="shared" si="45"/>
        <v>△</v>
      </c>
      <c r="AY52" s="8" t="str">
        <f t="shared" si="46"/>
        <v/>
      </c>
      <c r="AZ52" s="10" t="str">
        <f t="shared" si="47"/>
        <v>△</v>
      </c>
      <c r="BA52" s="8" t="str">
        <f t="shared" si="48"/>
        <v/>
      </c>
      <c r="BB52" s="10" t="str">
        <f t="shared" si="49"/>
        <v>△</v>
      </c>
      <c r="BC52" s="8" t="str">
        <f t="shared" si="50"/>
        <v/>
      </c>
      <c r="BD52" s="10" t="str">
        <f t="shared" si="51"/>
        <v>△</v>
      </c>
      <c r="BE52" s="8" t="str">
        <f t="shared" si="52"/>
        <v/>
      </c>
      <c r="BF52" s="10" t="str">
        <f t="shared" si="53"/>
        <v>△</v>
      </c>
      <c r="BG52" s="8" t="str">
        <f t="shared" si="54"/>
        <v/>
      </c>
      <c r="BH52" s="10" t="str">
        <f t="shared" si="55"/>
        <v>△</v>
      </c>
      <c r="BI52" s="8" t="str">
        <f t="shared" si="56"/>
        <v/>
      </c>
      <c r="BJ52" s="1" t="s">
        <v>977</v>
      </c>
      <c r="BK52" s="1" t="s">
        <v>1102</v>
      </c>
      <c r="BL52" s="1" t="s">
        <v>977</v>
      </c>
      <c r="BM52" s="1" t="s">
        <v>977</v>
      </c>
      <c r="BN52" s="1" t="s">
        <v>977</v>
      </c>
      <c r="BO52" s="1" t="s">
        <v>1102</v>
      </c>
      <c r="BP52" s="1" t="s">
        <v>622</v>
      </c>
      <c r="BQ52" s="1" t="s">
        <v>622</v>
      </c>
      <c r="BR52" s="1" t="s">
        <v>622</v>
      </c>
      <c r="BS52" s="1" t="s">
        <v>622</v>
      </c>
      <c r="BT52" s="1" t="s">
        <v>622</v>
      </c>
    </row>
    <row r="53" spans="1:72" x14ac:dyDescent="0.3">
      <c r="A53">
        <v>52</v>
      </c>
      <c r="B53" t="s">
        <v>186</v>
      </c>
      <c r="C53" t="s">
        <v>677</v>
      </c>
      <c r="D53" t="s">
        <v>63</v>
      </c>
      <c r="E53" t="s">
        <v>836</v>
      </c>
      <c r="F53" t="s">
        <v>460</v>
      </c>
      <c r="G53" t="s">
        <v>461</v>
      </c>
      <c r="H53">
        <v>1</v>
      </c>
      <c r="I53" s="8">
        <v>400000</v>
      </c>
      <c r="J53" s="8">
        <v>5</v>
      </c>
      <c r="K53" s="39"/>
      <c r="L53" s="8"/>
      <c r="M53" s="8"/>
      <c r="N53" s="8"/>
      <c r="O53" s="8"/>
      <c r="P53" s="8">
        <f t="shared" si="0"/>
        <v>6666.666666666667</v>
      </c>
      <c r="Q53" s="8">
        <v>1</v>
      </c>
      <c r="R53" s="8">
        <v>2000000</v>
      </c>
      <c r="S53" s="8">
        <v>2</v>
      </c>
      <c r="T53" s="39"/>
      <c r="U53" s="8"/>
      <c r="V53" s="8"/>
      <c r="W53" s="8"/>
      <c r="X53" s="8"/>
      <c r="Y53" s="8">
        <f t="shared" si="28"/>
        <v>83333.333333333328</v>
      </c>
      <c r="Z53" s="8">
        <v>1</v>
      </c>
      <c r="AA53" s="8">
        <v>300000</v>
      </c>
      <c r="AB53" s="8">
        <v>2</v>
      </c>
      <c r="AC53" s="39"/>
      <c r="AD53" s="8"/>
      <c r="AE53" s="8"/>
      <c r="AF53" s="8"/>
      <c r="AG53" s="8"/>
      <c r="AH53" s="8">
        <f t="shared" si="29"/>
        <v>12500</v>
      </c>
      <c r="AI53" s="8">
        <f t="shared" si="30"/>
        <v>6666.666666666667</v>
      </c>
      <c r="AJ53" s="10" t="str">
        <f t="shared" si="31"/>
        <v>○</v>
      </c>
      <c r="AK53" s="8">
        <f t="shared" si="32"/>
        <v>83333.333333333328</v>
      </c>
      <c r="AL53" s="10" t="str">
        <f t="shared" si="33"/>
        <v>○</v>
      </c>
      <c r="AM53" s="8">
        <f t="shared" si="34"/>
        <v>12500</v>
      </c>
      <c r="AN53" s="10" t="str">
        <f t="shared" si="35"/>
        <v>○</v>
      </c>
      <c r="AO53" s="8">
        <f t="shared" si="36"/>
        <v>6666.666666666667</v>
      </c>
      <c r="AP53" s="10" t="str">
        <f t="shared" si="37"/>
        <v>○</v>
      </c>
      <c r="AQ53" s="8">
        <f t="shared" si="38"/>
        <v>83333.333333333328</v>
      </c>
      <c r="AR53" s="10" t="str">
        <f t="shared" si="39"/>
        <v>○</v>
      </c>
      <c r="AS53" s="8">
        <f t="shared" si="40"/>
        <v>12500</v>
      </c>
      <c r="AT53" s="10" t="str">
        <f t="shared" si="41"/>
        <v>○</v>
      </c>
      <c r="AU53" s="8">
        <f t="shared" si="42"/>
        <v>6666.666666666667</v>
      </c>
      <c r="AV53" s="10" t="str">
        <f t="shared" si="43"/>
        <v>○</v>
      </c>
      <c r="AW53" s="8">
        <f t="shared" si="44"/>
        <v>83333.333333333328</v>
      </c>
      <c r="AX53" s="10" t="str">
        <f t="shared" si="45"/>
        <v>○</v>
      </c>
      <c r="AY53" s="8">
        <f t="shared" si="46"/>
        <v>12500</v>
      </c>
      <c r="AZ53" s="10" t="str">
        <f t="shared" si="47"/>
        <v>○</v>
      </c>
      <c r="BA53" s="8">
        <f t="shared" si="48"/>
        <v>6666.666666666667</v>
      </c>
      <c r="BB53" s="10" t="str">
        <f t="shared" si="49"/>
        <v>○</v>
      </c>
      <c r="BC53" s="8">
        <f t="shared" si="50"/>
        <v>83333.333333333328</v>
      </c>
      <c r="BD53" s="10" t="str">
        <f t="shared" si="51"/>
        <v>○</v>
      </c>
      <c r="BE53" s="8">
        <f t="shared" si="52"/>
        <v>12500</v>
      </c>
      <c r="BF53" s="10" t="str">
        <f t="shared" si="53"/>
        <v>○</v>
      </c>
      <c r="BG53" s="8" t="str">
        <f t="shared" si="54"/>
        <v/>
      </c>
      <c r="BH53" s="10" t="str">
        <f t="shared" si="55"/>
        <v>△</v>
      </c>
      <c r="BI53" s="8" t="str">
        <f t="shared" si="56"/>
        <v/>
      </c>
      <c r="BJ53" s="1" t="s">
        <v>977</v>
      </c>
      <c r="BK53" s="1" t="s">
        <v>1102</v>
      </c>
      <c r="BL53" s="1" t="s">
        <v>977</v>
      </c>
      <c r="BM53" s="1" t="s">
        <v>977</v>
      </c>
      <c r="BN53" s="1" t="s">
        <v>977</v>
      </c>
      <c r="BO53" s="1" t="s">
        <v>1102</v>
      </c>
      <c r="BP53" s="1" t="s">
        <v>1103</v>
      </c>
      <c r="BQ53" s="1" t="s">
        <v>1103</v>
      </c>
      <c r="BR53" s="1" t="s">
        <v>1103</v>
      </c>
      <c r="BS53" s="1" t="s">
        <v>1103</v>
      </c>
      <c r="BT53" s="1" t="s">
        <v>622</v>
      </c>
    </row>
    <row r="54" spans="1:72" x14ac:dyDescent="0.3">
      <c r="A54">
        <v>53</v>
      </c>
      <c r="B54" t="s">
        <v>186</v>
      </c>
      <c r="C54" t="s">
        <v>679</v>
      </c>
      <c r="D54" t="s">
        <v>36</v>
      </c>
      <c r="E54" t="s">
        <v>680</v>
      </c>
      <c r="F54" t="s">
        <v>272</v>
      </c>
      <c r="G54" t="s">
        <v>450</v>
      </c>
      <c r="H54">
        <v>2</v>
      </c>
      <c r="I54" s="8"/>
      <c r="J54" s="8"/>
      <c r="K54" s="39"/>
      <c r="L54" s="8"/>
      <c r="M54" s="8"/>
      <c r="N54" s="8"/>
      <c r="O54" s="8"/>
      <c r="P54" s="8" t="str">
        <f t="shared" si="0"/>
        <v/>
      </c>
      <c r="Q54" s="8">
        <v>2</v>
      </c>
      <c r="R54" s="8"/>
      <c r="S54" s="8"/>
      <c r="T54" s="39">
        <v>8.3333333333333329E-2</v>
      </c>
      <c r="U54" s="8">
        <v>12</v>
      </c>
      <c r="V54" s="8">
        <v>30000</v>
      </c>
      <c r="W54" s="8"/>
      <c r="X54" s="8"/>
      <c r="Y54" s="8">
        <f t="shared" si="28"/>
        <v>30000</v>
      </c>
      <c r="Z54" s="8">
        <v>2</v>
      </c>
      <c r="AA54" s="8"/>
      <c r="AB54" s="8"/>
      <c r="AC54" s="39">
        <v>8.3333333333333329E-2</v>
      </c>
      <c r="AD54" s="8">
        <v>12</v>
      </c>
      <c r="AE54" s="8">
        <v>5000</v>
      </c>
      <c r="AF54" s="8"/>
      <c r="AG54" s="8"/>
      <c r="AH54" s="8">
        <f t="shared" si="29"/>
        <v>5000</v>
      </c>
      <c r="AI54" s="8" t="str">
        <f t="shared" si="30"/>
        <v/>
      </c>
      <c r="AJ54" s="10" t="str">
        <f t="shared" si="31"/>
        <v>○</v>
      </c>
      <c r="AK54" s="8">
        <f t="shared" si="32"/>
        <v>30000</v>
      </c>
      <c r="AL54" s="10" t="str">
        <f t="shared" si="33"/>
        <v>○</v>
      </c>
      <c r="AM54" s="8">
        <f t="shared" si="34"/>
        <v>5000</v>
      </c>
      <c r="AN54" s="10" t="str">
        <f t="shared" si="35"/>
        <v>○</v>
      </c>
      <c r="AO54" s="8" t="str">
        <f t="shared" si="36"/>
        <v/>
      </c>
      <c r="AP54" s="10" t="str">
        <f t="shared" si="37"/>
        <v>△</v>
      </c>
      <c r="AQ54" s="8" t="str">
        <f t="shared" si="38"/>
        <v/>
      </c>
      <c r="AR54" s="10" t="str">
        <f t="shared" si="39"/>
        <v>△</v>
      </c>
      <c r="AS54" s="8" t="str">
        <f t="shared" si="40"/>
        <v/>
      </c>
      <c r="AT54" s="10" t="str">
        <f t="shared" si="41"/>
        <v>△</v>
      </c>
      <c r="AU54" s="8" t="str">
        <f t="shared" si="42"/>
        <v/>
      </c>
      <c r="AV54" s="10" t="str">
        <f t="shared" si="43"/>
        <v>△</v>
      </c>
      <c r="AW54" s="8" t="str">
        <f t="shared" si="44"/>
        <v/>
      </c>
      <c r="AX54" s="10" t="str">
        <f t="shared" si="45"/>
        <v>△</v>
      </c>
      <c r="AY54" s="8" t="str">
        <f t="shared" si="46"/>
        <v/>
      </c>
      <c r="AZ54" s="10" t="str">
        <f t="shared" si="47"/>
        <v>△</v>
      </c>
      <c r="BA54" s="8" t="str">
        <f t="shared" si="48"/>
        <v/>
      </c>
      <c r="BB54" s="10" t="str">
        <f t="shared" si="49"/>
        <v>X</v>
      </c>
      <c r="BC54" s="8" t="str">
        <f t="shared" si="50"/>
        <v/>
      </c>
      <c r="BD54" s="10" t="str">
        <f t="shared" si="51"/>
        <v>X</v>
      </c>
      <c r="BE54" s="8" t="str">
        <f t="shared" si="52"/>
        <v/>
      </c>
      <c r="BF54" s="10" t="str">
        <f t="shared" si="53"/>
        <v>X</v>
      </c>
      <c r="BG54" s="8" t="str">
        <f t="shared" si="54"/>
        <v/>
      </c>
      <c r="BH54" s="10" t="str">
        <f t="shared" si="55"/>
        <v>△</v>
      </c>
      <c r="BI54" s="8" t="str">
        <f t="shared" si="56"/>
        <v/>
      </c>
      <c r="BJ54" s="1" t="s">
        <v>977</v>
      </c>
      <c r="BK54" s="1" t="s">
        <v>1102</v>
      </c>
      <c r="BL54" s="1" t="s">
        <v>977</v>
      </c>
      <c r="BM54" s="1" t="s">
        <v>977</v>
      </c>
      <c r="BN54" s="1" t="s">
        <v>1102</v>
      </c>
      <c r="BO54" s="1" t="s">
        <v>1102</v>
      </c>
      <c r="BP54" s="1" t="s">
        <v>1103</v>
      </c>
      <c r="BQ54" s="1" t="s">
        <v>622</v>
      </c>
      <c r="BR54" s="1" t="s">
        <v>622</v>
      </c>
      <c r="BS54" s="1" t="s">
        <v>657</v>
      </c>
      <c r="BT54" s="1" t="s">
        <v>622</v>
      </c>
    </row>
    <row r="55" spans="1:72" x14ac:dyDescent="0.3">
      <c r="A55">
        <v>54</v>
      </c>
      <c r="B55" t="s">
        <v>186</v>
      </c>
      <c r="C55" t="s">
        <v>681</v>
      </c>
      <c r="D55" t="s">
        <v>63</v>
      </c>
      <c r="E55" t="s">
        <v>682</v>
      </c>
      <c r="F55" t="s">
        <v>287</v>
      </c>
      <c r="G55" t="s">
        <v>490</v>
      </c>
      <c r="H55">
        <v>1</v>
      </c>
      <c r="I55" s="8">
        <v>60000</v>
      </c>
      <c r="J55" s="8">
        <v>5</v>
      </c>
      <c r="K55" s="39"/>
      <c r="L55" s="8"/>
      <c r="M55" s="8"/>
      <c r="N55" s="8"/>
      <c r="O55" s="8"/>
      <c r="P55" s="8">
        <f t="shared" si="0"/>
        <v>1000</v>
      </c>
      <c r="Q55" s="8">
        <v>1</v>
      </c>
      <c r="R55" s="8">
        <v>200000</v>
      </c>
      <c r="S55" s="8">
        <v>1</v>
      </c>
      <c r="T55" s="39"/>
      <c r="U55" s="8"/>
      <c r="V55" s="8"/>
      <c r="W55" s="8"/>
      <c r="X55" s="8"/>
      <c r="Y55" s="8">
        <f t="shared" si="28"/>
        <v>16666.666666666668</v>
      </c>
      <c r="Z55" s="8">
        <v>1</v>
      </c>
      <c r="AA55" s="8"/>
      <c r="AB55" s="8"/>
      <c r="AC55" s="39"/>
      <c r="AD55" s="8"/>
      <c r="AE55" s="8"/>
      <c r="AF55" s="8"/>
      <c r="AG55" s="8"/>
      <c r="AH55" s="8" t="str">
        <f t="shared" si="29"/>
        <v/>
      </c>
      <c r="AI55" s="8">
        <f t="shared" si="30"/>
        <v>1000</v>
      </c>
      <c r="AJ55" s="10" t="str">
        <f t="shared" si="31"/>
        <v>○</v>
      </c>
      <c r="AK55" s="8">
        <f t="shared" si="32"/>
        <v>16666.666666666668</v>
      </c>
      <c r="AL55" s="10" t="str">
        <f t="shared" si="33"/>
        <v>○</v>
      </c>
      <c r="AM55" s="8" t="str">
        <f t="shared" si="34"/>
        <v/>
      </c>
      <c r="AN55" s="10" t="str">
        <f t="shared" si="35"/>
        <v>○</v>
      </c>
      <c r="AO55" s="8">
        <f t="shared" si="36"/>
        <v>1000</v>
      </c>
      <c r="AP55" s="10" t="str">
        <f t="shared" si="37"/>
        <v>○</v>
      </c>
      <c r="AQ55" s="8">
        <f t="shared" si="38"/>
        <v>16666.666666666668</v>
      </c>
      <c r="AR55" s="10" t="str">
        <f t="shared" si="39"/>
        <v>○</v>
      </c>
      <c r="AS55" s="8" t="str">
        <f t="shared" si="40"/>
        <v/>
      </c>
      <c r="AT55" s="10" t="str">
        <f t="shared" si="41"/>
        <v>○</v>
      </c>
      <c r="AU55" s="8">
        <f t="shared" si="42"/>
        <v>1000</v>
      </c>
      <c r="AV55" s="10" t="str">
        <f t="shared" si="43"/>
        <v>○</v>
      </c>
      <c r="AW55" s="8">
        <f t="shared" si="44"/>
        <v>16666.666666666668</v>
      </c>
      <c r="AX55" s="10" t="str">
        <f t="shared" si="45"/>
        <v>○</v>
      </c>
      <c r="AY55" s="8" t="str">
        <f t="shared" si="46"/>
        <v/>
      </c>
      <c r="AZ55" s="10" t="str">
        <f t="shared" si="47"/>
        <v>○</v>
      </c>
      <c r="BA55" s="8">
        <f t="shared" si="48"/>
        <v>1000</v>
      </c>
      <c r="BB55" s="10" t="str">
        <f t="shared" si="49"/>
        <v>○</v>
      </c>
      <c r="BC55" s="8">
        <f t="shared" si="50"/>
        <v>16666.666666666668</v>
      </c>
      <c r="BD55" s="10" t="str">
        <f t="shared" si="51"/>
        <v>○</v>
      </c>
      <c r="BE55" s="8" t="str">
        <f t="shared" si="52"/>
        <v/>
      </c>
      <c r="BF55" s="10" t="str">
        <f t="shared" si="53"/>
        <v>○</v>
      </c>
      <c r="BG55" s="8" t="str">
        <f t="shared" si="54"/>
        <v/>
      </c>
      <c r="BH55" s="10" t="str">
        <f t="shared" si="55"/>
        <v>△</v>
      </c>
      <c r="BI55" s="8" t="str">
        <f t="shared" si="56"/>
        <v/>
      </c>
      <c r="BJ55" s="1" t="s">
        <v>977</v>
      </c>
      <c r="BK55" s="1" t="s">
        <v>1102</v>
      </c>
      <c r="BL55" s="1" t="s">
        <v>977</v>
      </c>
      <c r="BM55" s="1" t="s">
        <v>977</v>
      </c>
      <c r="BN55" s="1" t="s">
        <v>977</v>
      </c>
      <c r="BO55" s="1" t="s">
        <v>1102</v>
      </c>
      <c r="BP55" s="1" t="s">
        <v>1103</v>
      </c>
      <c r="BQ55" s="1" t="s">
        <v>1103</v>
      </c>
      <c r="BR55" s="1" t="s">
        <v>1103</v>
      </c>
      <c r="BS55" s="1" t="s">
        <v>1103</v>
      </c>
      <c r="BT55" s="1" t="s">
        <v>622</v>
      </c>
    </row>
    <row r="56" spans="1:72" x14ac:dyDescent="0.3">
      <c r="A56">
        <v>55</v>
      </c>
      <c r="B56" t="s">
        <v>186</v>
      </c>
      <c r="C56" t="s">
        <v>683</v>
      </c>
      <c r="D56" t="s">
        <v>63</v>
      </c>
      <c r="E56" t="s">
        <v>684</v>
      </c>
      <c r="F56" t="s">
        <v>497</v>
      </c>
      <c r="G56" t="s">
        <v>498</v>
      </c>
      <c r="H56">
        <v>1</v>
      </c>
      <c r="I56" s="8">
        <v>600000</v>
      </c>
      <c r="J56" s="8">
        <v>7</v>
      </c>
      <c r="K56" s="39"/>
      <c r="L56" s="8"/>
      <c r="M56" s="8"/>
      <c r="N56" s="8"/>
      <c r="O56" s="8"/>
      <c r="P56" s="8">
        <f t="shared" si="0"/>
        <v>7142.8571428571422</v>
      </c>
      <c r="Q56" s="8">
        <v>1</v>
      </c>
      <c r="R56" s="8">
        <v>1200000</v>
      </c>
      <c r="S56" s="8">
        <v>2</v>
      </c>
      <c r="T56" s="39"/>
      <c r="U56" s="8"/>
      <c r="V56" s="8"/>
      <c r="W56" s="8"/>
      <c r="X56" s="8"/>
      <c r="Y56" s="8">
        <f t="shared" si="28"/>
        <v>50000</v>
      </c>
      <c r="Z56" s="8">
        <v>1</v>
      </c>
      <c r="AA56" s="8">
        <v>30000</v>
      </c>
      <c r="AB56" s="8">
        <v>0.5</v>
      </c>
      <c r="AC56" s="39"/>
      <c r="AD56" s="8"/>
      <c r="AE56" s="8"/>
      <c r="AF56" s="8"/>
      <c r="AG56" s="8"/>
      <c r="AH56" s="8">
        <f t="shared" si="29"/>
        <v>5000</v>
      </c>
      <c r="AI56" s="8">
        <f t="shared" si="30"/>
        <v>7142.8571428571422</v>
      </c>
      <c r="AJ56" s="10" t="str">
        <f t="shared" si="31"/>
        <v>○</v>
      </c>
      <c r="AK56" s="8">
        <f t="shared" si="32"/>
        <v>50000</v>
      </c>
      <c r="AL56" s="10" t="str">
        <f t="shared" si="33"/>
        <v>○</v>
      </c>
      <c r="AM56" s="8">
        <f t="shared" si="34"/>
        <v>5000</v>
      </c>
      <c r="AN56" s="10" t="str">
        <f t="shared" si="35"/>
        <v>○</v>
      </c>
      <c r="AO56" s="8">
        <f t="shared" si="36"/>
        <v>7142.8571428571422</v>
      </c>
      <c r="AP56" s="10" t="str">
        <f t="shared" si="37"/>
        <v>○</v>
      </c>
      <c r="AQ56" s="8">
        <f t="shared" si="38"/>
        <v>50000</v>
      </c>
      <c r="AR56" s="10" t="str">
        <f t="shared" si="39"/>
        <v>○</v>
      </c>
      <c r="AS56" s="8">
        <f t="shared" si="40"/>
        <v>5000</v>
      </c>
      <c r="AT56" s="10" t="str">
        <f t="shared" si="41"/>
        <v>○</v>
      </c>
      <c r="AU56" s="8">
        <f t="shared" si="42"/>
        <v>7142.8571428571422</v>
      </c>
      <c r="AV56" s="10" t="str">
        <f t="shared" si="43"/>
        <v>○</v>
      </c>
      <c r="AW56" s="8">
        <f t="shared" si="44"/>
        <v>50000</v>
      </c>
      <c r="AX56" s="10" t="str">
        <f t="shared" si="45"/>
        <v>○</v>
      </c>
      <c r="AY56" s="8">
        <f t="shared" si="46"/>
        <v>5000</v>
      </c>
      <c r="AZ56" s="10" t="str">
        <f t="shared" si="47"/>
        <v>○</v>
      </c>
      <c r="BA56" s="8">
        <f t="shared" si="48"/>
        <v>7142.8571428571422</v>
      </c>
      <c r="BB56" s="10" t="str">
        <f t="shared" si="49"/>
        <v>○</v>
      </c>
      <c r="BC56" s="8">
        <f t="shared" si="50"/>
        <v>50000</v>
      </c>
      <c r="BD56" s="10" t="str">
        <f t="shared" si="51"/>
        <v>○</v>
      </c>
      <c r="BE56" s="8">
        <f t="shared" si="52"/>
        <v>5000</v>
      </c>
      <c r="BF56" s="10" t="str">
        <f t="shared" si="53"/>
        <v>○</v>
      </c>
      <c r="BG56" s="8">
        <f t="shared" si="54"/>
        <v>7142.8571428571422</v>
      </c>
      <c r="BH56" s="10" t="str">
        <f t="shared" si="55"/>
        <v>○</v>
      </c>
      <c r="BI56" s="8">
        <f t="shared" si="56"/>
        <v>50000</v>
      </c>
      <c r="BJ56" s="1" t="s">
        <v>977</v>
      </c>
      <c r="BK56" s="1" t="s">
        <v>1102</v>
      </c>
      <c r="BL56" s="1" t="s">
        <v>977</v>
      </c>
      <c r="BM56" s="1" t="s">
        <v>977</v>
      </c>
      <c r="BN56" s="1" t="s">
        <v>977</v>
      </c>
      <c r="BO56" s="1" t="s">
        <v>1102</v>
      </c>
      <c r="BP56" s="1" t="s">
        <v>1103</v>
      </c>
      <c r="BQ56" s="1" t="s">
        <v>1103</v>
      </c>
      <c r="BR56" s="1" t="s">
        <v>1103</v>
      </c>
      <c r="BS56" s="1" t="s">
        <v>1103</v>
      </c>
      <c r="BT56" s="1" t="s">
        <v>1103</v>
      </c>
    </row>
    <row r="57" spans="1:72" x14ac:dyDescent="0.3">
      <c r="A57">
        <v>56</v>
      </c>
      <c r="B57" t="s">
        <v>186</v>
      </c>
      <c r="C57" t="s">
        <v>685</v>
      </c>
      <c r="D57" t="s">
        <v>63</v>
      </c>
      <c r="E57" t="s">
        <v>686</v>
      </c>
      <c r="F57" t="s">
        <v>499</v>
      </c>
      <c r="G57" t="s">
        <v>500</v>
      </c>
      <c r="H57">
        <v>1</v>
      </c>
      <c r="I57" s="8">
        <v>500000</v>
      </c>
      <c r="J57" s="8">
        <v>5</v>
      </c>
      <c r="K57" s="39"/>
      <c r="L57" s="8"/>
      <c r="M57" s="8"/>
      <c r="N57" s="8"/>
      <c r="O57" s="8"/>
      <c r="P57" s="8">
        <f t="shared" si="0"/>
        <v>8333.3333333333339</v>
      </c>
      <c r="Q57" s="8">
        <v>1</v>
      </c>
      <c r="R57" s="8">
        <v>2500000</v>
      </c>
      <c r="S57" s="8">
        <v>5</v>
      </c>
      <c r="T57" s="39"/>
      <c r="U57" s="8"/>
      <c r="V57" s="8"/>
      <c r="W57" s="8"/>
      <c r="X57" s="8"/>
      <c r="Y57" s="8">
        <f t="shared" si="28"/>
        <v>41666.666666666664</v>
      </c>
      <c r="Z57" s="8">
        <v>1</v>
      </c>
      <c r="AA57" s="8">
        <v>120000</v>
      </c>
      <c r="AB57" s="8">
        <v>0.5</v>
      </c>
      <c r="AC57" s="39"/>
      <c r="AD57" s="8"/>
      <c r="AE57" s="8"/>
      <c r="AF57" s="8"/>
      <c r="AG57" s="8"/>
      <c r="AH57" s="8">
        <f t="shared" si="29"/>
        <v>20000</v>
      </c>
      <c r="AI57" s="8">
        <f t="shared" si="30"/>
        <v>8333.3333333333339</v>
      </c>
      <c r="AJ57" s="10" t="str">
        <f t="shared" si="31"/>
        <v>○</v>
      </c>
      <c r="AK57" s="8">
        <f t="shared" si="32"/>
        <v>41666.666666666664</v>
      </c>
      <c r="AL57" s="10" t="str">
        <f t="shared" si="33"/>
        <v>○</v>
      </c>
      <c r="AM57" s="8">
        <f t="shared" si="34"/>
        <v>20000</v>
      </c>
      <c r="AN57" s="10" t="str">
        <f t="shared" si="35"/>
        <v>○</v>
      </c>
      <c r="AO57" s="8">
        <f t="shared" si="36"/>
        <v>8333.3333333333339</v>
      </c>
      <c r="AP57" s="10" t="str">
        <f t="shared" si="37"/>
        <v>○</v>
      </c>
      <c r="AQ57" s="8">
        <f t="shared" si="38"/>
        <v>41666.666666666664</v>
      </c>
      <c r="AR57" s="10" t="str">
        <f t="shared" si="39"/>
        <v>○</v>
      </c>
      <c r="AS57" s="8">
        <f t="shared" si="40"/>
        <v>20000</v>
      </c>
      <c r="AT57" s="10" t="str">
        <f t="shared" si="41"/>
        <v>○</v>
      </c>
      <c r="AU57" s="8">
        <f t="shared" si="42"/>
        <v>8333.3333333333339</v>
      </c>
      <c r="AV57" s="10" t="str">
        <f t="shared" si="43"/>
        <v>○</v>
      </c>
      <c r="AW57" s="8">
        <f t="shared" si="44"/>
        <v>41666.666666666664</v>
      </c>
      <c r="AX57" s="10" t="str">
        <f t="shared" si="45"/>
        <v>○</v>
      </c>
      <c r="AY57" s="8">
        <f t="shared" si="46"/>
        <v>20000</v>
      </c>
      <c r="AZ57" s="10" t="str">
        <f t="shared" si="47"/>
        <v>○</v>
      </c>
      <c r="BA57" s="8">
        <f t="shared" si="48"/>
        <v>8333.3333333333339</v>
      </c>
      <c r="BB57" s="10" t="str">
        <f t="shared" si="49"/>
        <v>○</v>
      </c>
      <c r="BC57" s="8">
        <f t="shared" si="50"/>
        <v>41666.666666666664</v>
      </c>
      <c r="BD57" s="10" t="str">
        <f t="shared" si="51"/>
        <v>○</v>
      </c>
      <c r="BE57" s="8">
        <f t="shared" si="52"/>
        <v>20000</v>
      </c>
      <c r="BF57" s="10" t="str">
        <f t="shared" si="53"/>
        <v>○</v>
      </c>
      <c r="BG57" s="8">
        <f t="shared" si="54"/>
        <v>8333.3333333333339</v>
      </c>
      <c r="BH57" s="10" t="str">
        <f t="shared" si="55"/>
        <v>○</v>
      </c>
      <c r="BI57" s="8">
        <f t="shared" si="56"/>
        <v>41666.666666666664</v>
      </c>
      <c r="BJ57" s="1" t="s">
        <v>977</v>
      </c>
      <c r="BK57" s="1" t="s">
        <v>1102</v>
      </c>
      <c r="BL57" s="1" t="s">
        <v>977</v>
      </c>
      <c r="BM57" s="1" t="s">
        <v>977</v>
      </c>
      <c r="BN57" s="1" t="s">
        <v>977</v>
      </c>
      <c r="BO57" s="1" t="s">
        <v>1102</v>
      </c>
      <c r="BP57" s="1" t="s">
        <v>1103</v>
      </c>
      <c r="BQ57" s="1" t="s">
        <v>1103</v>
      </c>
      <c r="BR57" s="1" t="s">
        <v>1103</v>
      </c>
      <c r="BS57" s="1" t="s">
        <v>1103</v>
      </c>
      <c r="BT57" s="1" t="s">
        <v>1103</v>
      </c>
    </row>
    <row r="58" spans="1:72" x14ac:dyDescent="0.3">
      <c r="A58">
        <v>57</v>
      </c>
      <c r="B58" t="s">
        <v>186</v>
      </c>
      <c r="C58" t="s">
        <v>687</v>
      </c>
      <c r="D58" t="s">
        <v>63</v>
      </c>
      <c r="E58" t="s">
        <v>762</v>
      </c>
      <c r="F58" t="s">
        <v>505</v>
      </c>
      <c r="G58" t="s">
        <v>506</v>
      </c>
      <c r="H58">
        <v>1</v>
      </c>
      <c r="I58" s="8">
        <v>3600000</v>
      </c>
      <c r="J58" s="8">
        <v>10</v>
      </c>
      <c r="K58" s="39"/>
      <c r="L58" s="8"/>
      <c r="M58" s="8"/>
      <c r="N58" s="8"/>
      <c r="O58" s="8"/>
      <c r="P58" s="8">
        <f t="shared" si="0"/>
        <v>30000</v>
      </c>
      <c r="Q58" s="8">
        <v>1</v>
      </c>
      <c r="R58" s="8"/>
      <c r="S58" s="8"/>
      <c r="T58" s="39"/>
      <c r="U58" s="8"/>
      <c r="V58" s="8"/>
      <c r="W58" s="8"/>
      <c r="X58" s="8"/>
      <c r="Y58" s="8" t="str">
        <f t="shared" si="28"/>
        <v/>
      </c>
      <c r="Z58" s="8">
        <v>1</v>
      </c>
      <c r="AA58" s="8">
        <v>1000000</v>
      </c>
      <c r="AB58" s="8">
        <v>2</v>
      </c>
      <c r="AC58" s="39"/>
      <c r="AD58" s="8"/>
      <c r="AE58" s="8"/>
      <c r="AF58" s="8"/>
      <c r="AG58" s="8"/>
      <c r="AH58" s="8">
        <f t="shared" si="29"/>
        <v>41666.666666666664</v>
      </c>
      <c r="AI58" s="8">
        <f t="shared" si="30"/>
        <v>30000</v>
      </c>
      <c r="AJ58" s="10" t="str">
        <f t="shared" si="31"/>
        <v>○</v>
      </c>
      <c r="AK58" s="8" t="str">
        <f t="shared" si="32"/>
        <v/>
      </c>
      <c r="AL58" s="10" t="str">
        <f t="shared" si="33"/>
        <v>○</v>
      </c>
      <c r="AM58" s="8">
        <f t="shared" si="34"/>
        <v>41666.666666666664</v>
      </c>
      <c r="AN58" s="10" t="str">
        <f t="shared" si="35"/>
        <v>○</v>
      </c>
      <c r="AO58" s="8">
        <f t="shared" si="36"/>
        <v>30000</v>
      </c>
      <c r="AP58" s="10" t="str">
        <f t="shared" si="37"/>
        <v>○</v>
      </c>
      <c r="AQ58" s="8" t="str">
        <f t="shared" si="38"/>
        <v/>
      </c>
      <c r="AR58" s="10" t="str">
        <f t="shared" si="39"/>
        <v>○</v>
      </c>
      <c r="AS58" s="8">
        <f t="shared" si="40"/>
        <v>41666.666666666664</v>
      </c>
      <c r="AT58" s="10" t="str">
        <f t="shared" si="41"/>
        <v>○</v>
      </c>
      <c r="AU58" s="8">
        <f t="shared" si="42"/>
        <v>30000</v>
      </c>
      <c r="AV58" s="10" t="str">
        <f t="shared" si="43"/>
        <v>○</v>
      </c>
      <c r="AW58" s="8" t="str">
        <f t="shared" si="44"/>
        <v/>
      </c>
      <c r="AX58" s="10" t="str">
        <f t="shared" si="45"/>
        <v>○</v>
      </c>
      <c r="AY58" s="8">
        <f t="shared" si="46"/>
        <v>41666.666666666664</v>
      </c>
      <c r="AZ58" s="10" t="str">
        <f t="shared" si="47"/>
        <v>○</v>
      </c>
      <c r="BA58" s="8">
        <f t="shared" si="48"/>
        <v>30000</v>
      </c>
      <c r="BB58" s="10" t="str">
        <f t="shared" si="49"/>
        <v>○</v>
      </c>
      <c r="BC58" s="8" t="str">
        <f t="shared" si="50"/>
        <v/>
      </c>
      <c r="BD58" s="10" t="str">
        <f t="shared" si="51"/>
        <v>○</v>
      </c>
      <c r="BE58" s="8">
        <f t="shared" si="52"/>
        <v>41666.666666666664</v>
      </c>
      <c r="BF58" s="10" t="str">
        <f t="shared" si="53"/>
        <v>○</v>
      </c>
      <c r="BG58" s="8" t="str">
        <f t="shared" si="54"/>
        <v/>
      </c>
      <c r="BH58" s="10" t="str">
        <f t="shared" si="55"/>
        <v>△</v>
      </c>
      <c r="BI58" s="8" t="str">
        <f t="shared" si="56"/>
        <v/>
      </c>
      <c r="BJ58" s="1" t="s">
        <v>1102</v>
      </c>
      <c r="BK58" s="1" t="s">
        <v>1044</v>
      </c>
      <c r="BL58" s="1" t="s">
        <v>1102</v>
      </c>
      <c r="BM58" s="1" t="s">
        <v>977</v>
      </c>
      <c r="BN58" s="1" t="s">
        <v>1102</v>
      </c>
      <c r="BO58" s="1" t="s">
        <v>1102</v>
      </c>
      <c r="BP58" s="1" t="s">
        <v>1103</v>
      </c>
      <c r="BQ58" s="1" t="s">
        <v>1103</v>
      </c>
      <c r="BR58" s="1" t="s">
        <v>1103</v>
      </c>
      <c r="BS58" s="1" t="s">
        <v>1103</v>
      </c>
      <c r="BT58" s="1" t="s">
        <v>622</v>
      </c>
    </row>
    <row r="59" spans="1:72" x14ac:dyDescent="0.3">
      <c r="A59">
        <v>58</v>
      </c>
      <c r="B59" t="s">
        <v>186</v>
      </c>
      <c r="C59" t="s">
        <v>689</v>
      </c>
      <c r="D59" t="s">
        <v>130</v>
      </c>
      <c r="E59" t="s">
        <v>763</v>
      </c>
      <c r="F59" t="s">
        <v>959</v>
      </c>
      <c r="G59" t="s">
        <v>530</v>
      </c>
      <c r="H59">
        <v>2</v>
      </c>
      <c r="I59" s="8"/>
      <c r="J59" s="8"/>
      <c r="K59" s="39"/>
      <c r="L59" s="8"/>
      <c r="M59" s="8"/>
      <c r="N59" s="8"/>
      <c r="O59" s="8"/>
      <c r="P59" s="8" t="str">
        <f t="shared" si="0"/>
        <v/>
      </c>
      <c r="Q59" s="8">
        <v>1</v>
      </c>
      <c r="R59" s="8"/>
      <c r="S59" s="8"/>
      <c r="T59" s="39"/>
      <c r="U59" s="8"/>
      <c r="V59" s="8"/>
      <c r="W59" s="8"/>
      <c r="X59" s="8"/>
      <c r="Y59" s="8" t="str">
        <f t="shared" si="28"/>
        <v/>
      </c>
      <c r="Z59" s="8">
        <v>1</v>
      </c>
      <c r="AA59" s="8">
        <v>30000</v>
      </c>
      <c r="AB59" s="8">
        <v>0.5</v>
      </c>
      <c r="AC59" s="39"/>
      <c r="AD59" s="8"/>
      <c r="AE59" s="8"/>
      <c r="AF59" s="8"/>
      <c r="AG59" s="8"/>
      <c r="AH59" s="8">
        <f t="shared" si="29"/>
        <v>5000</v>
      </c>
      <c r="AI59" s="8" t="str">
        <f t="shared" si="30"/>
        <v/>
      </c>
      <c r="AJ59" s="10" t="str">
        <f t="shared" si="31"/>
        <v>○</v>
      </c>
      <c r="AK59" s="8" t="str">
        <f t="shared" si="32"/>
        <v/>
      </c>
      <c r="AL59" s="10" t="str">
        <f t="shared" si="33"/>
        <v>○</v>
      </c>
      <c r="AM59" s="8">
        <f t="shared" si="34"/>
        <v>5000</v>
      </c>
      <c r="AN59" s="10" t="str">
        <f t="shared" si="35"/>
        <v>○</v>
      </c>
      <c r="AO59" s="8" t="str">
        <f t="shared" si="36"/>
        <v/>
      </c>
      <c r="AP59" s="10" t="str">
        <f t="shared" si="37"/>
        <v>○</v>
      </c>
      <c r="AQ59" s="8" t="str">
        <f t="shared" si="38"/>
        <v/>
      </c>
      <c r="AR59" s="10" t="str">
        <f t="shared" si="39"/>
        <v>○</v>
      </c>
      <c r="AS59" s="8">
        <f t="shared" si="40"/>
        <v>5000</v>
      </c>
      <c r="AT59" s="10" t="str">
        <f t="shared" si="41"/>
        <v>○</v>
      </c>
      <c r="AU59" s="8" t="str">
        <f t="shared" si="42"/>
        <v/>
      </c>
      <c r="AV59" s="10" t="str">
        <f t="shared" si="43"/>
        <v>○</v>
      </c>
      <c r="AW59" s="8" t="str">
        <f t="shared" si="44"/>
        <v/>
      </c>
      <c r="AX59" s="10" t="str">
        <f t="shared" si="45"/>
        <v>○</v>
      </c>
      <c r="AY59" s="8">
        <f t="shared" si="46"/>
        <v>5000</v>
      </c>
      <c r="AZ59" s="10" t="str">
        <f t="shared" si="47"/>
        <v>○</v>
      </c>
      <c r="BA59" s="8" t="str">
        <f t="shared" si="48"/>
        <v/>
      </c>
      <c r="BB59" s="10" t="str">
        <f t="shared" si="49"/>
        <v>○</v>
      </c>
      <c r="BC59" s="8" t="str">
        <f t="shared" si="50"/>
        <v/>
      </c>
      <c r="BD59" s="10" t="str">
        <f t="shared" si="51"/>
        <v>○</v>
      </c>
      <c r="BE59" s="8">
        <f t="shared" si="52"/>
        <v>5000</v>
      </c>
      <c r="BF59" s="10" t="str">
        <f t="shared" si="53"/>
        <v>○</v>
      </c>
      <c r="BG59" s="8" t="str">
        <f t="shared" si="54"/>
        <v/>
      </c>
      <c r="BH59" s="10" t="str">
        <f t="shared" si="55"/>
        <v>○</v>
      </c>
      <c r="BI59" s="8" t="str">
        <f t="shared" si="56"/>
        <v/>
      </c>
      <c r="BJ59" s="1" t="s">
        <v>977</v>
      </c>
      <c r="BK59" s="1" t="s">
        <v>1102</v>
      </c>
      <c r="BL59" s="1" t="s">
        <v>1102</v>
      </c>
      <c r="BM59" s="1" t="s">
        <v>977</v>
      </c>
      <c r="BN59" s="1" t="s">
        <v>1102</v>
      </c>
      <c r="BO59" s="1" t="s">
        <v>1102</v>
      </c>
      <c r="BP59" s="1" t="s">
        <v>1103</v>
      </c>
      <c r="BQ59" s="1" t="s">
        <v>1103</v>
      </c>
      <c r="BR59" s="1" t="s">
        <v>1103</v>
      </c>
      <c r="BS59" s="1" t="s">
        <v>1103</v>
      </c>
      <c r="BT59" s="1" t="s">
        <v>1103</v>
      </c>
    </row>
    <row r="60" spans="1:72" x14ac:dyDescent="0.3">
      <c r="A60">
        <v>59</v>
      </c>
      <c r="B60" t="s">
        <v>186</v>
      </c>
      <c r="C60" t="s">
        <v>690</v>
      </c>
      <c r="D60" t="s">
        <v>20</v>
      </c>
      <c r="E60" t="s">
        <v>765</v>
      </c>
      <c r="F60" t="s">
        <v>928</v>
      </c>
      <c r="G60" t="s">
        <v>966</v>
      </c>
      <c r="H60">
        <v>2</v>
      </c>
      <c r="I60" s="8"/>
      <c r="J60" s="8"/>
      <c r="K60" s="39">
        <v>8.3333333333333329E-2</v>
      </c>
      <c r="L60" s="8">
        <v>12</v>
      </c>
      <c r="M60" s="8">
        <v>15000</v>
      </c>
      <c r="N60" s="8"/>
      <c r="O60" s="8"/>
      <c r="P60" s="8">
        <f t="shared" si="0"/>
        <v>15000</v>
      </c>
      <c r="Q60" s="8">
        <v>2</v>
      </c>
      <c r="R60" s="8"/>
      <c r="S60" s="8"/>
      <c r="T60" s="39">
        <v>8.3333333333333329E-2</v>
      </c>
      <c r="U60" s="8">
        <v>48</v>
      </c>
      <c r="V60" s="8">
        <v>12000</v>
      </c>
      <c r="W60" s="8"/>
      <c r="X60" s="8"/>
      <c r="Y60" s="8">
        <f t="shared" si="28"/>
        <v>48000</v>
      </c>
      <c r="Z60" s="8">
        <v>2</v>
      </c>
      <c r="AA60" s="8"/>
      <c r="AB60" s="8"/>
      <c r="AC60" s="39"/>
      <c r="AD60" s="8"/>
      <c r="AE60" s="8"/>
      <c r="AF60" s="8"/>
      <c r="AG60" s="8"/>
      <c r="AH60" s="8" t="str">
        <f t="shared" si="29"/>
        <v/>
      </c>
      <c r="AI60" s="8">
        <f t="shared" si="30"/>
        <v>15000</v>
      </c>
      <c r="AJ60" s="10" t="str">
        <f t="shared" si="31"/>
        <v>○</v>
      </c>
      <c r="AK60" s="8">
        <f t="shared" si="32"/>
        <v>48000</v>
      </c>
      <c r="AL60" s="10" t="str">
        <f t="shared" si="33"/>
        <v>○</v>
      </c>
      <c r="AM60" s="8" t="str">
        <f t="shared" si="34"/>
        <v/>
      </c>
      <c r="AN60" s="10" t="str">
        <f t="shared" si="35"/>
        <v>○</v>
      </c>
      <c r="AO60" s="8">
        <f t="shared" si="36"/>
        <v>15000</v>
      </c>
      <c r="AP60" s="10" t="str">
        <f t="shared" si="37"/>
        <v>○</v>
      </c>
      <c r="AQ60" s="8">
        <f t="shared" si="38"/>
        <v>48000</v>
      </c>
      <c r="AR60" s="10" t="str">
        <f t="shared" si="39"/>
        <v>○</v>
      </c>
      <c r="AS60" s="8" t="str">
        <f t="shared" si="40"/>
        <v/>
      </c>
      <c r="AT60" s="10" t="str">
        <f t="shared" si="41"/>
        <v>○</v>
      </c>
      <c r="AU60" s="8">
        <f t="shared" si="42"/>
        <v>15000</v>
      </c>
      <c r="AV60" s="10" t="str">
        <f t="shared" si="43"/>
        <v>○</v>
      </c>
      <c r="AW60" s="8">
        <f t="shared" si="44"/>
        <v>48000</v>
      </c>
      <c r="AX60" s="10" t="str">
        <f t="shared" si="45"/>
        <v>○</v>
      </c>
      <c r="AY60" s="8" t="str">
        <f t="shared" si="46"/>
        <v/>
      </c>
      <c r="AZ60" s="10" t="str">
        <f t="shared" si="47"/>
        <v>○</v>
      </c>
      <c r="BA60" s="8">
        <f t="shared" si="48"/>
        <v>15000</v>
      </c>
      <c r="BB60" s="10" t="str">
        <f t="shared" si="49"/>
        <v>○</v>
      </c>
      <c r="BC60" s="8">
        <f t="shared" si="50"/>
        <v>48000</v>
      </c>
      <c r="BD60" s="10" t="str">
        <f t="shared" si="51"/>
        <v>○</v>
      </c>
      <c r="BE60" s="8" t="str">
        <f t="shared" si="52"/>
        <v/>
      </c>
      <c r="BF60" s="10" t="str">
        <f t="shared" si="53"/>
        <v>○</v>
      </c>
      <c r="BG60" s="8">
        <f t="shared" si="54"/>
        <v>15000</v>
      </c>
      <c r="BH60" s="10" t="str">
        <f t="shared" si="55"/>
        <v>○</v>
      </c>
      <c r="BI60" s="8">
        <f t="shared" si="56"/>
        <v>48000</v>
      </c>
      <c r="BJ60" s="1" t="s">
        <v>977</v>
      </c>
      <c r="BK60" s="1" t="s">
        <v>1102</v>
      </c>
      <c r="BL60" s="1" t="s">
        <v>977</v>
      </c>
      <c r="BM60" s="1" t="s">
        <v>977</v>
      </c>
      <c r="BN60" s="1" t="s">
        <v>1102</v>
      </c>
      <c r="BO60" s="1" t="s">
        <v>1102</v>
      </c>
      <c r="BP60" s="1" t="s">
        <v>1103</v>
      </c>
      <c r="BQ60" s="1" t="s">
        <v>1103</v>
      </c>
      <c r="BR60" s="1" t="s">
        <v>1103</v>
      </c>
      <c r="BS60" s="1" t="s">
        <v>1103</v>
      </c>
      <c r="BT60" s="1" t="s">
        <v>1103</v>
      </c>
    </row>
    <row r="61" spans="1:72" x14ac:dyDescent="0.3">
      <c r="A61">
        <v>60</v>
      </c>
      <c r="B61" t="s">
        <v>34</v>
      </c>
      <c r="C61" t="s">
        <v>691</v>
      </c>
      <c r="D61" t="s">
        <v>11</v>
      </c>
      <c r="E61" t="s">
        <v>692</v>
      </c>
      <c r="F61" t="s">
        <v>960</v>
      </c>
      <c r="G61" t="s">
        <v>433</v>
      </c>
      <c r="H61">
        <v>2</v>
      </c>
      <c r="I61" s="8"/>
      <c r="J61" s="8"/>
      <c r="K61" s="39">
        <v>8.3333333333333329E-2</v>
      </c>
      <c r="L61" s="8">
        <v>3</v>
      </c>
      <c r="M61" s="8">
        <v>10000</v>
      </c>
      <c r="N61" s="8"/>
      <c r="O61" s="8"/>
      <c r="P61" s="8">
        <f t="shared" si="0"/>
        <v>2500</v>
      </c>
      <c r="Q61" s="8">
        <v>2</v>
      </c>
      <c r="R61" s="8"/>
      <c r="S61" s="8"/>
      <c r="T61" s="39">
        <v>8.3333333333333329E-2</v>
      </c>
      <c r="U61" s="8">
        <v>24</v>
      </c>
      <c r="V61" s="8">
        <v>4000</v>
      </c>
      <c r="W61" s="8"/>
      <c r="X61" s="8"/>
      <c r="Y61" s="8">
        <f t="shared" si="28"/>
        <v>8000</v>
      </c>
      <c r="Z61" s="8">
        <v>2</v>
      </c>
      <c r="AA61" s="8"/>
      <c r="AB61" s="8"/>
      <c r="AC61" s="39">
        <v>8.3333333333333329E-2</v>
      </c>
      <c r="AD61" s="8">
        <v>24</v>
      </c>
      <c r="AE61" s="8">
        <v>4000</v>
      </c>
      <c r="AF61" s="8"/>
      <c r="AG61" s="8"/>
      <c r="AH61" s="8">
        <f t="shared" si="29"/>
        <v>8000</v>
      </c>
      <c r="AI61" s="8">
        <f t="shared" si="30"/>
        <v>2500</v>
      </c>
      <c r="AJ61" s="10" t="str">
        <f t="shared" si="31"/>
        <v>○</v>
      </c>
      <c r="AK61" s="8">
        <f t="shared" si="32"/>
        <v>8000</v>
      </c>
      <c r="AL61" s="10" t="str">
        <f t="shared" si="33"/>
        <v>○</v>
      </c>
      <c r="AM61" s="8">
        <f t="shared" si="34"/>
        <v>8000</v>
      </c>
      <c r="AN61" s="10" t="str">
        <f t="shared" si="35"/>
        <v>○</v>
      </c>
      <c r="AO61" s="8">
        <f t="shared" si="36"/>
        <v>2500</v>
      </c>
      <c r="AP61" s="10" t="str">
        <f t="shared" si="37"/>
        <v>○</v>
      </c>
      <c r="AQ61" s="8">
        <f t="shared" si="38"/>
        <v>8000</v>
      </c>
      <c r="AR61" s="10" t="str">
        <f t="shared" si="39"/>
        <v>○</v>
      </c>
      <c r="AS61" s="8">
        <f t="shared" si="40"/>
        <v>8000</v>
      </c>
      <c r="AT61" s="10" t="str">
        <f t="shared" si="41"/>
        <v>○</v>
      </c>
      <c r="AU61" s="8">
        <f t="shared" si="42"/>
        <v>2500</v>
      </c>
      <c r="AV61" s="10" t="str">
        <f t="shared" si="43"/>
        <v>○</v>
      </c>
      <c r="AW61" s="8">
        <f t="shared" si="44"/>
        <v>8000</v>
      </c>
      <c r="AX61" s="10" t="str">
        <f t="shared" si="45"/>
        <v>○</v>
      </c>
      <c r="AY61" s="8">
        <f t="shared" si="46"/>
        <v>8000</v>
      </c>
      <c r="AZ61" s="10" t="str">
        <f t="shared" si="47"/>
        <v>○</v>
      </c>
      <c r="BA61" s="8">
        <f t="shared" si="48"/>
        <v>2500</v>
      </c>
      <c r="BB61" s="10" t="str">
        <f t="shared" si="49"/>
        <v>○</v>
      </c>
      <c r="BC61" s="8">
        <f t="shared" si="50"/>
        <v>8000</v>
      </c>
      <c r="BD61" s="10" t="str">
        <f t="shared" si="51"/>
        <v>○</v>
      </c>
      <c r="BE61" s="8">
        <f t="shared" si="52"/>
        <v>8000</v>
      </c>
      <c r="BF61" s="10" t="str">
        <f t="shared" si="53"/>
        <v>○</v>
      </c>
      <c r="BG61" s="8">
        <f t="shared" si="54"/>
        <v>2500</v>
      </c>
      <c r="BH61" s="10" t="str">
        <f t="shared" si="55"/>
        <v>○</v>
      </c>
      <c r="BI61" s="8">
        <f t="shared" si="56"/>
        <v>8000</v>
      </c>
      <c r="BJ61" s="1" t="s">
        <v>977</v>
      </c>
      <c r="BK61" s="1" t="s">
        <v>1102</v>
      </c>
      <c r="BL61" s="1" t="s">
        <v>1102</v>
      </c>
      <c r="BM61" s="1" t="s">
        <v>977</v>
      </c>
      <c r="BN61" s="1" t="s">
        <v>1102</v>
      </c>
      <c r="BO61" s="1" t="s">
        <v>1102</v>
      </c>
      <c r="BP61" s="1" t="s">
        <v>1103</v>
      </c>
      <c r="BQ61" s="1" t="s">
        <v>1103</v>
      </c>
      <c r="BR61" s="1" t="s">
        <v>1103</v>
      </c>
      <c r="BS61" s="1" t="s">
        <v>1103</v>
      </c>
      <c r="BT61" s="1" t="s">
        <v>1103</v>
      </c>
    </row>
    <row r="62" spans="1:72" x14ac:dyDescent="0.3">
      <c r="A62">
        <v>61</v>
      </c>
      <c r="B62" t="s">
        <v>34</v>
      </c>
      <c r="C62" t="s">
        <v>695</v>
      </c>
      <c r="D62" t="s">
        <v>123</v>
      </c>
      <c r="E62" t="s">
        <v>696</v>
      </c>
      <c r="F62" t="s">
        <v>463</v>
      </c>
      <c r="G62" t="s">
        <v>464</v>
      </c>
      <c r="H62">
        <v>3</v>
      </c>
      <c r="I62" s="8"/>
      <c r="J62" s="8"/>
      <c r="K62" s="39"/>
      <c r="L62" s="8"/>
      <c r="M62" s="8"/>
      <c r="N62" s="8">
        <v>1000</v>
      </c>
      <c r="O62" s="8">
        <v>0.5</v>
      </c>
      <c r="P62" s="8">
        <f t="shared" si="0"/>
        <v>166.66666666666666</v>
      </c>
      <c r="Q62" s="8">
        <v>3</v>
      </c>
      <c r="R62" s="8"/>
      <c r="S62" s="8"/>
      <c r="T62" s="39"/>
      <c r="U62" s="8"/>
      <c r="V62" s="8"/>
      <c r="W62" s="8">
        <v>50000</v>
      </c>
      <c r="X62" s="8">
        <v>0.5</v>
      </c>
      <c r="Y62" s="8">
        <f t="shared" si="28"/>
        <v>8333.3333333333339</v>
      </c>
      <c r="Z62" s="8">
        <v>6</v>
      </c>
      <c r="AA62" s="8"/>
      <c r="AB62" s="8"/>
      <c r="AC62" s="39">
        <v>8.3333333333333329E-2</v>
      </c>
      <c r="AD62" s="8">
        <v>12</v>
      </c>
      <c r="AE62" s="8">
        <v>6000</v>
      </c>
      <c r="AF62" s="8">
        <v>3000</v>
      </c>
      <c r="AG62" s="8">
        <v>1</v>
      </c>
      <c r="AH62" s="8">
        <f t="shared" si="29"/>
        <v>6250</v>
      </c>
      <c r="AI62" s="8">
        <f t="shared" si="30"/>
        <v>166.66666666666666</v>
      </c>
      <c r="AJ62" s="10" t="str">
        <f t="shared" si="31"/>
        <v>○</v>
      </c>
      <c r="AK62" s="8">
        <f t="shared" si="32"/>
        <v>8333.3333333333339</v>
      </c>
      <c r="AL62" s="10" t="str">
        <f t="shared" si="33"/>
        <v>○</v>
      </c>
      <c r="AM62" s="8">
        <f t="shared" si="34"/>
        <v>6250</v>
      </c>
      <c r="AN62" s="10" t="str">
        <f t="shared" si="35"/>
        <v>○</v>
      </c>
      <c r="AO62" s="8">
        <f t="shared" si="36"/>
        <v>166.66666666666666</v>
      </c>
      <c r="AP62" s="10" t="str">
        <f t="shared" si="37"/>
        <v>○</v>
      </c>
      <c r="AQ62" s="8">
        <f t="shared" si="38"/>
        <v>8333.3333333333339</v>
      </c>
      <c r="AR62" s="10" t="str">
        <f t="shared" si="39"/>
        <v>○</v>
      </c>
      <c r="AS62" s="8">
        <f t="shared" si="40"/>
        <v>6250</v>
      </c>
      <c r="AT62" s="10" t="str">
        <f t="shared" si="41"/>
        <v>○</v>
      </c>
      <c r="AU62" s="8">
        <f t="shared" si="42"/>
        <v>166.66666666666666</v>
      </c>
      <c r="AV62" s="10" t="str">
        <f t="shared" si="43"/>
        <v>○</v>
      </c>
      <c r="AW62" s="8">
        <f t="shared" si="44"/>
        <v>8333.3333333333339</v>
      </c>
      <c r="AX62" s="10" t="str">
        <f t="shared" si="45"/>
        <v>○</v>
      </c>
      <c r="AY62" s="8">
        <f t="shared" si="46"/>
        <v>6250</v>
      </c>
      <c r="AZ62" s="10" t="str">
        <f t="shared" si="47"/>
        <v>○</v>
      </c>
      <c r="BA62" s="8">
        <f t="shared" si="48"/>
        <v>166.66666666666666</v>
      </c>
      <c r="BB62" s="10" t="str">
        <f t="shared" si="49"/>
        <v>○</v>
      </c>
      <c r="BC62" s="8">
        <f t="shared" si="50"/>
        <v>8333.3333333333339</v>
      </c>
      <c r="BD62" s="10" t="str">
        <f t="shared" si="51"/>
        <v>○</v>
      </c>
      <c r="BE62" s="8">
        <f t="shared" si="52"/>
        <v>6250</v>
      </c>
      <c r="BF62" s="10" t="str">
        <f t="shared" si="53"/>
        <v>○</v>
      </c>
      <c r="BG62" s="8" t="str">
        <f t="shared" si="54"/>
        <v/>
      </c>
      <c r="BH62" s="10" t="str">
        <f t="shared" si="55"/>
        <v>△</v>
      </c>
      <c r="BI62" s="8" t="str">
        <f t="shared" si="56"/>
        <v/>
      </c>
      <c r="BJ62" s="1" t="s">
        <v>977</v>
      </c>
      <c r="BK62" s="1" t="s">
        <v>1102</v>
      </c>
      <c r="BL62" s="1" t="s">
        <v>977</v>
      </c>
      <c r="BM62" s="1" t="s">
        <v>977</v>
      </c>
      <c r="BN62" s="1" t="s">
        <v>977</v>
      </c>
      <c r="BO62" s="1" t="s">
        <v>1102</v>
      </c>
      <c r="BP62" s="1" t="s">
        <v>1103</v>
      </c>
      <c r="BQ62" s="1" t="s">
        <v>1103</v>
      </c>
      <c r="BR62" s="1" t="s">
        <v>1103</v>
      </c>
      <c r="BS62" s="1" t="s">
        <v>1103</v>
      </c>
      <c r="BT62" s="1" t="s">
        <v>622</v>
      </c>
    </row>
    <row r="63" spans="1:72" x14ac:dyDescent="0.3">
      <c r="A63">
        <v>62</v>
      </c>
      <c r="B63" t="s">
        <v>34</v>
      </c>
      <c r="C63" t="s">
        <v>697</v>
      </c>
      <c r="D63" t="s">
        <v>123</v>
      </c>
      <c r="E63" t="s">
        <v>696</v>
      </c>
      <c r="F63" t="s">
        <v>466</v>
      </c>
      <c r="G63" t="s">
        <v>467</v>
      </c>
      <c r="H63">
        <v>3</v>
      </c>
      <c r="I63" s="8"/>
      <c r="J63" s="8"/>
      <c r="K63" s="39"/>
      <c r="L63" s="8"/>
      <c r="M63" s="8"/>
      <c r="N63" s="8">
        <v>15000</v>
      </c>
      <c r="O63" s="8">
        <v>0.5</v>
      </c>
      <c r="P63" s="8">
        <f t="shared" si="0"/>
        <v>2500</v>
      </c>
      <c r="Q63" s="8">
        <v>1</v>
      </c>
      <c r="R63" s="8">
        <v>40000</v>
      </c>
      <c r="S63" s="8">
        <v>0.5</v>
      </c>
      <c r="T63" s="39"/>
      <c r="U63" s="8"/>
      <c r="V63" s="8"/>
      <c r="W63" s="8"/>
      <c r="X63" s="8"/>
      <c r="Y63" s="8">
        <f t="shared" si="28"/>
        <v>6666.666666666667</v>
      </c>
      <c r="Z63" s="8">
        <v>3</v>
      </c>
      <c r="AA63" s="8"/>
      <c r="AB63" s="8"/>
      <c r="AC63" s="39"/>
      <c r="AD63" s="8"/>
      <c r="AE63" s="8"/>
      <c r="AF63" s="8">
        <v>6000</v>
      </c>
      <c r="AG63" s="8">
        <v>0.25</v>
      </c>
      <c r="AH63" s="8">
        <f t="shared" si="29"/>
        <v>2000</v>
      </c>
      <c r="AI63" s="8">
        <f t="shared" si="30"/>
        <v>2500</v>
      </c>
      <c r="AJ63" s="10" t="str">
        <f t="shared" si="31"/>
        <v>○</v>
      </c>
      <c r="AK63" s="8">
        <f t="shared" si="32"/>
        <v>6666.666666666667</v>
      </c>
      <c r="AL63" s="10" t="str">
        <f t="shared" si="33"/>
        <v>○</v>
      </c>
      <c r="AM63" s="8">
        <f t="shared" si="34"/>
        <v>2000</v>
      </c>
      <c r="AN63" s="10" t="str">
        <f t="shared" si="35"/>
        <v>○</v>
      </c>
      <c r="AO63" s="8">
        <f t="shared" si="36"/>
        <v>2500</v>
      </c>
      <c r="AP63" s="10" t="str">
        <f t="shared" si="37"/>
        <v>○</v>
      </c>
      <c r="AQ63" s="8">
        <f t="shared" si="38"/>
        <v>6666.666666666667</v>
      </c>
      <c r="AR63" s="10" t="str">
        <f t="shared" si="39"/>
        <v>○</v>
      </c>
      <c r="AS63" s="8">
        <f t="shared" si="40"/>
        <v>2000</v>
      </c>
      <c r="AT63" s="10" t="str">
        <f t="shared" si="41"/>
        <v>○</v>
      </c>
      <c r="AU63" s="8">
        <f t="shared" si="42"/>
        <v>2500</v>
      </c>
      <c r="AV63" s="10" t="str">
        <f t="shared" si="43"/>
        <v>○</v>
      </c>
      <c r="AW63" s="8">
        <f t="shared" si="44"/>
        <v>6666.666666666667</v>
      </c>
      <c r="AX63" s="10" t="str">
        <f t="shared" si="45"/>
        <v>○</v>
      </c>
      <c r="AY63" s="8">
        <f t="shared" si="46"/>
        <v>2000</v>
      </c>
      <c r="AZ63" s="10" t="str">
        <f t="shared" si="47"/>
        <v>○</v>
      </c>
      <c r="BA63" s="8">
        <f t="shared" si="48"/>
        <v>2500</v>
      </c>
      <c r="BB63" s="10" t="str">
        <f t="shared" si="49"/>
        <v>○</v>
      </c>
      <c r="BC63" s="8">
        <f t="shared" si="50"/>
        <v>6666.666666666667</v>
      </c>
      <c r="BD63" s="10" t="str">
        <f t="shared" si="51"/>
        <v>○</v>
      </c>
      <c r="BE63" s="8">
        <f t="shared" si="52"/>
        <v>2000</v>
      </c>
      <c r="BF63" s="10" t="str">
        <f t="shared" si="53"/>
        <v>○</v>
      </c>
      <c r="BG63" s="8">
        <f t="shared" si="54"/>
        <v>2500</v>
      </c>
      <c r="BH63" s="10" t="str">
        <f t="shared" si="55"/>
        <v>○</v>
      </c>
      <c r="BI63" s="8">
        <f t="shared" si="56"/>
        <v>6666.666666666667</v>
      </c>
      <c r="BJ63" s="1" t="s">
        <v>977</v>
      </c>
      <c r="BK63" s="1" t="s">
        <v>1102</v>
      </c>
      <c r="BL63" s="1" t="s">
        <v>977</v>
      </c>
      <c r="BM63" s="1" t="s">
        <v>977</v>
      </c>
      <c r="BN63" s="1" t="s">
        <v>977</v>
      </c>
      <c r="BO63" s="1" t="s">
        <v>1102</v>
      </c>
      <c r="BP63" s="1" t="s">
        <v>1103</v>
      </c>
      <c r="BQ63" s="1" t="s">
        <v>1103</v>
      </c>
      <c r="BR63" s="1" t="s">
        <v>1103</v>
      </c>
      <c r="BS63" s="1" t="s">
        <v>1103</v>
      </c>
      <c r="BT63" s="1" t="s">
        <v>1103</v>
      </c>
    </row>
    <row r="64" spans="1:72" x14ac:dyDescent="0.3">
      <c r="A64">
        <v>63</v>
      </c>
      <c r="B64" t="s">
        <v>34</v>
      </c>
      <c r="C64" t="s">
        <v>698</v>
      </c>
      <c r="D64" t="s">
        <v>36</v>
      </c>
      <c r="E64" t="s">
        <v>699</v>
      </c>
      <c r="F64" t="s">
        <v>512</v>
      </c>
      <c r="G64" t="s">
        <v>513</v>
      </c>
      <c r="H64">
        <v>5</v>
      </c>
      <c r="I64" s="8">
        <v>200000</v>
      </c>
      <c r="J64" s="8">
        <v>10</v>
      </c>
      <c r="K64" s="39"/>
      <c r="L64" s="8"/>
      <c r="M64" s="8"/>
      <c r="N64" s="8">
        <v>2000</v>
      </c>
      <c r="O64" s="8">
        <v>2</v>
      </c>
      <c r="P64" s="8">
        <f t="shared" si="0"/>
        <v>1750</v>
      </c>
      <c r="Q64" s="8">
        <v>3</v>
      </c>
      <c r="R64" s="8"/>
      <c r="S64" s="8"/>
      <c r="T64" s="39"/>
      <c r="U64" s="8"/>
      <c r="V64" s="8"/>
      <c r="W64" s="8">
        <v>15000</v>
      </c>
      <c r="X64" s="8">
        <v>2</v>
      </c>
      <c r="Y64" s="8">
        <f t="shared" si="28"/>
        <v>625</v>
      </c>
      <c r="Z64" s="8">
        <v>1</v>
      </c>
      <c r="AA64" s="8">
        <v>120000</v>
      </c>
      <c r="AB64" s="8">
        <v>2</v>
      </c>
      <c r="AC64" s="39"/>
      <c r="AD64" s="8"/>
      <c r="AE64" s="8"/>
      <c r="AF64" s="8"/>
      <c r="AG64" s="8"/>
      <c r="AH64" s="8">
        <f t="shared" si="29"/>
        <v>5000</v>
      </c>
      <c r="AI64" s="8">
        <f t="shared" si="30"/>
        <v>1750</v>
      </c>
      <c r="AJ64" s="10" t="str">
        <f t="shared" si="31"/>
        <v>○</v>
      </c>
      <c r="AK64" s="8">
        <f t="shared" si="32"/>
        <v>625</v>
      </c>
      <c r="AL64" s="10" t="str">
        <f t="shared" si="33"/>
        <v>○</v>
      </c>
      <c r="AM64" s="8">
        <f t="shared" si="34"/>
        <v>5000</v>
      </c>
      <c r="AN64" s="10" t="str">
        <f t="shared" si="35"/>
        <v>○</v>
      </c>
      <c r="AO64" s="8">
        <f t="shared" si="36"/>
        <v>1750</v>
      </c>
      <c r="AP64" s="10" t="str">
        <f t="shared" si="37"/>
        <v>○</v>
      </c>
      <c r="AQ64" s="8">
        <f t="shared" si="38"/>
        <v>625</v>
      </c>
      <c r="AR64" s="10" t="str">
        <f t="shared" si="39"/>
        <v>○</v>
      </c>
      <c r="AS64" s="8">
        <f t="shared" si="40"/>
        <v>5000</v>
      </c>
      <c r="AT64" s="10" t="str">
        <f t="shared" si="41"/>
        <v>○</v>
      </c>
      <c r="AU64" s="8">
        <f t="shared" si="42"/>
        <v>1750</v>
      </c>
      <c r="AV64" s="10" t="str">
        <f t="shared" si="43"/>
        <v>○</v>
      </c>
      <c r="AW64" s="8">
        <f t="shared" si="44"/>
        <v>625</v>
      </c>
      <c r="AX64" s="10" t="str">
        <f t="shared" si="45"/>
        <v>○</v>
      </c>
      <c r="AY64" s="8">
        <f t="shared" si="46"/>
        <v>5000</v>
      </c>
      <c r="AZ64" s="10" t="str">
        <f t="shared" si="47"/>
        <v>○</v>
      </c>
      <c r="BA64" s="8">
        <f t="shared" si="48"/>
        <v>1750</v>
      </c>
      <c r="BB64" s="10" t="str">
        <f t="shared" si="49"/>
        <v>○</v>
      </c>
      <c r="BC64" s="8">
        <f t="shared" si="50"/>
        <v>625</v>
      </c>
      <c r="BD64" s="10" t="str">
        <f t="shared" si="51"/>
        <v>○</v>
      </c>
      <c r="BE64" s="8">
        <f t="shared" si="52"/>
        <v>5000</v>
      </c>
      <c r="BF64" s="10" t="str">
        <f t="shared" si="53"/>
        <v>○</v>
      </c>
      <c r="BG64" s="8">
        <f t="shared" si="54"/>
        <v>1750</v>
      </c>
      <c r="BH64" s="10" t="str">
        <f t="shared" si="55"/>
        <v>○</v>
      </c>
      <c r="BI64" s="8">
        <f t="shared" si="56"/>
        <v>625</v>
      </c>
      <c r="BJ64" s="1" t="s">
        <v>977</v>
      </c>
      <c r="BK64" s="1" t="s">
        <v>1102</v>
      </c>
      <c r="BL64" s="1" t="s">
        <v>1102</v>
      </c>
      <c r="BM64" s="1" t="s">
        <v>977</v>
      </c>
      <c r="BN64" s="1" t="s">
        <v>977</v>
      </c>
      <c r="BO64" s="1" t="s">
        <v>1102</v>
      </c>
      <c r="BP64" s="1" t="s">
        <v>1103</v>
      </c>
      <c r="BQ64" s="1" t="s">
        <v>1103</v>
      </c>
      <c r="BR64" s="1" t="s">
        <v>1103</v>
      </c>
      <c r="BS64" s="1" t="s">
        <v>1103</v>
      </c>
      <c r="BT64" s="1" t="s">
        <v>1103</v>
      </c>
    </row>
    <row r="65" spans="1:72" x14ac:dyDescent="0.3">
      <c r="A65">
        <v>64</v>
      </c>
      <c r="B65" t="s">
        <v>34</v>
      </c>
      <c r="C65" t="s">
        <v>702</v>
      </c>
      <c r="D65" t="s">
        <v>123</v>
      </c>
      <c r="E65" t="s">
        <v>837</v>
      </c>
      <c r="F65" t="s">
        <v>469</v>
      </c>
      <c r="G65" t="s">
        <v>470</v>
      </c>
      <c r="H65">
        <v>2</v>
      </c>
      <c r="I65" s="8"/>
      <c r="J65" s="8"/>
      <c r="K65" s="39">
        <v>8.3333333333333329E-2</v>
      </c>
      <c r="L65" s="8">
        <v>12</v>
      </c>
      <c r="M65" s="8">
        <v>1000</v>
      </c>
      <c r="N65" s="8"/>
      <c r="O65" s="8"/>
      <c r="P65" s="8">
        <f t="shared" si="0"/>
        <v>1000</v>
      </c>
      <c r="Q65" s="8">
        <v>2</v>
      </c>
      <c r="R65" s="8"/>
      <c r="S65" s="8"/>
      <c r="T65" s="39"/>
      <c r="U65" s="8"/>
      <c r="V65" s="8"/>
      <c r="W65" s="8"/>
      <c r="X65" s="8"/>
      <c r="Y65" s="8" t="str">
        <f t="shared" si="28"/>
        <v/>
      </c>
      <c r="Z65" s="8">
        <v>2</v>
      </c>
      <c r="AA65" s="8"/>
      <c r="AB65" s="8"/>
      <c r="AC65" s="39"/>
      <c r="AD65" s="8"/>
      <c r="AE65" s="8"/>
      <c r="AF65" s="8"/>
      <c r="AG65" s="8"/>
      <c r="AH65" s="8" t="str">
        <f t="shared" si="29"/>
        <v/>
      </c>
      <c r="AI65" s="8">
        <f t="shared" si="30"/>
        <v>1000</v>
      </c>
      <c r="AJ65" s="10" t="str">
        <f t="shared" si="31"/>
        <v>○</v>
      </c>
      <c r="AK65" s="8" t="str">
        <f t="shared" si="32"/>
        <v/>
      </c>
      <c r="AL65" s="10" t="str">
        <f t="shared" si="33"/>
        <v>○</v>
      </c>
      <c r="AM65" s="8" t="str">
        <f t="shared" si="34"/>
        <v/>
      </c>
      <c r="AN65" s="10" t="str">
        <f t="shared" si="35"/>
        <v>○</v>
      </c>
      <c r="AO65" s="8">
        <f t="shared" si="36"/>
        <v>1000</v>
      </c>
      <c r="AP65" s="10" t="str">
        <f t="shared" si="37"/>
        <v>○</v>
      </c>
      <c r="AQ65" s="8" t="str">
        <f t="shared" si="38"/>
        <v/>
      </c>
      <c r="AR65" s="10" t="str">
        <f t="shared" si="39"/>
        <v>○</v>
      </c>
      <c r="AS65" s="8" t="str">
        <f t="shared" si="40"/>
        <v/>
      </c>
      <c r="AT65" s="10" t="str">
        <f t="shared" si="41"/>
        <v>○</v>
      </c>
      <c r="AU65" s="8">
        <f t="shared" si="42"/>
        <v>1000</v>
      </c>
      <c r="AV65" s="10" t="str">
        <f t="shared" si="43"/>
        <v>○</v>
      </c>
      <c r="AW65" s="8" t="str">
        <f t="shared" si="44"/>
        <v/>
      </c>
      <c r="AX65" s="10" t="str">
        <f t="shared" si="45"/>
        <v>○</v>
      </c>
      <c r="AY65" s="8" t="str">
        <f t="shared" si="46"/>
        <v/>
      </c>
      <c r="AZ65" s="10" t="str">
        <f t="shared" si="47"/>
        <v>○</v>
      </c>
      <c r="BA65" s="8">
        <f t="shared" si="48"/>
        <v>1000</v>
      </c>
      <c r="BB65" s="10" t="str">
        <f t="shared" si="49"/>
        <v>○</v>
      </c>
      <c r="BC65" s="8" t="str">
        <f t="shared" si="50"/>
        <v/>
      </c>
      <c r="BD65" s="10" t="str">
        <f t="shared" si="51"/>
        <v>○</v>
      </c>
      <c r="BE65" s="8" t="str">
        <f t="shared" si="52"/>
        <v/>
      </c>
      <c r="BF65" s="10" t="str">
        <f t="shared" si="53"/>
        <v>○</v>
      </c>
      <c r="BG65" s="8">
        <f t="shared" si="54"/>
        <v>1000</v>
      </c>
      <c r="BH65" s="10" t="str">
        <f t="shared" si="55"/>
        <v>○</v>
      </c>
      <c r="BI65" s="8" t="str">
        <f t="shared" si="56"/>
        <v/>
      </c>
      <c r="BJ65" s="1" t="s">
        <v>977</v>
      </c>
      <c r="BK65" s="1" t="s">
        <v>1102</v>
      </c>
      <c r="BL65" s="1" t="s">
        <v>1102</v>
      </c>
      <c r="BM65" s="1" t="s">
        <v>977</v>
      </c>
      <c r="BN65" s="1" t="s">
        <v>1102</v>
      </c>
      <c r="BO65" s="1" t="s">
        <v>1102</v>
      </c>
      <c r="BP65" s="1" t="s">
        <v>1103</v>
      </c>
      <c r="BQ65" s="1" t="s">
        <v>1103</v>
      </c>
      <c r="BR65" s="1" t="s">
        <v>1103</v>
      </c>
      <c r="BS65" s="1" t="s">
        <v>1103</v>
      </c>
      <c r="BT65" s="1" t="s">
        <v>1103</v>
      </c>
    </row>
    <row r="66" spans="1:72" x14ac:dyDescent="0.3">
      <c r="A66">
        <v>65</v>
      </c>
      <c r="B66" t="s">
        <v>705</v>
      </c>
      <c r="C66" t="s">
        <v>706</v>
      </c>
      <c r="D66" t="s">
        <v>63</v>
      </c>
      <c r="E66" t="s">
        <v>838</v>
      </c>
      <c r="F66" t="s">
        <v>962</v>
      </c>
      <c r="G66" t="s">
        <v>929</v>
      </c>
      <c r="H66">
        <v>2</v>
      </c>
      <c r="I66" s="8"/>
      <c r="J66" s="8"/>
      <c r="K66" s="39">
        <v>8.3333333333333329E-2</v>
      </c>
      <c r="L66" s="8">
        <v>6</v>
      </c>
      <c r="M66" s="8">
        <v>50000</v>
      </c>
      <c r="N66" s="8"/>
      <c r="O66" s="8"/>
      <c r="P66" s="8">
        <f t="shared" ref="P66:P83" si="57">IF($H66=1,IF(AND(I66&lt;&gt;"",J66&lt;&gt;""),I66/J66/12,""),IF($H66=2,IF(AND(K66&lt;&gt;"",L66&lt;&gt;"",M66&lt;&gt;""),K66*L66*M66,""),IF($H66=3,IF(AND(N66&lt;&gt;"",O66&lt;&gt;""),N66/O66/12,""),IF($H66=4,IF(AND(I66&lt;&gt;"",J66&lt;&gt;""),I66/J66/12,0)+IF(AND(K66&lt;&gt;"",L66&lt;&gt;"",M66&lt;&gt;""),K66*L66*M66,0),IF($H66=5,IF(AND(I66&lt;&gt;"",J66&lt;&gt;""),I66/J66/12,0)+IF(AND(N66&lt;&gt;"",O66&lt;&gt;""),N66/O66/12,0),IF($H66=6,IF(AND(K66&lt;&gt;"",L66&lt;&gt;"",M66&lt;&gt;""),K66*L66*M66,0)+IF(AND(N66&lt;&gt;"",O66&lt;&gt;""),N66/O66/12,0),""))))))</f>
        <v>25000</v>
      </c>
      <c r="Q66" s="8">
        <v>1</v>
      </c>
      <c r="R66" s="8">
        <v>100000</v>
      </c>
      <c r="S66" s="8">
        <v>1</v>
      </c>
      <c r="T66" s="39"/>
      <c r="U66" s="8"/>
      <c r="V66" s="8"/>
      <c r="W66" s="8"/>
      <c r="X66" s="8"/>
      <c r="Y66" s="8">
        <f t="shared" si="28"/>
        <v>8333.3333333333339</v>
      </c>
      <c r="Z66" s="8">
        <v>1</v>
      </c>
      <c r="AA66" s="8"/>
      <c r="AB66" s="8"/>
      <c r="AC66" s="39"/>
      <c r="AD66" s="8"/>
      <c r="AE66" s="8"/>
      <c r="AF66" s="8"/>
      <c r="AG66" s="8"/>
      <c r="AH66" s="8" t="str">
        <f t="shared" si="29"/>
        <v/>
      </c>
      <c r="AI66" s="8">
        <f t="shared" ref="AI66:AI83" si="58">IF(AJ66="○",P66,"")</f>
        <v>25000</v>
      </c>
      <c r="AJ66" s="10" t="str">
        <f t="shared" ref="AJ66:AJ83" si="59">BP66</f>
        <v>○</v>
      </c>
      <c r="AK66" s="8">
        <f t="shared" ref="AK66:AK83" si="60">IF(AL66="○",Y66,"")</f>
        <v>8333.3333333333339</v>
      </c>
      <c r="AL66" s="10" t="str">
        <f t="shared" ref="AL66:AL83" si="61">BP66</f>
        <v>○</v>
      </c>
      <c r="AM66" s="8" t="str">
        <f t="shared" ref="AM66:AM83" si="62">IF(AN66="○",AH66,"")</f>
        <v/>
      </c>
      <c r="AN66" s="10" t="str">
        <f t="shared" ref="AN66:AN83" si="63">BP66</f>
        <v>○</v>
      </c>
      <c r="AO66" s="8">
        <f t="shared" ref="AO66:AO83" si="64">IF(AP66="○",P66,"")</f>
        <v>25000</v>
      </c>
      <c r="AP66" s="10" t="str">
        <f t="shared" ref="AP66:AP83" si="65">BQ66</f>
        <v>○</v>
      </c>
      <c r="AQ66" s="8">
        <f t="shared" ref="AQ66:AQ83" si="66">IF(AR66="○",Y66,"")</f>
        <v>8333.3333333333339</v>
      </c>
      <c r="AR66" s="10" t="str">
        <f t="shared" ref="AR66:AR83" si="67">BQ66</f>
        <v>○</v>
      </c>
      <c r="AS66" s="8" t="str">
        <f t="shared" ref="AS66:AS83" si="68">IF(AT66="○",AH66,"")</f>
        <v/>
      </c>
      <c r="AT66" s="10" t="str">
        <f t="shared" ref="AT66:AT83" si="69">BQ66</f>
        <v>○</v>
      </c>
      <c r="AU66" s="8">
        <f t="shared" ref="AU66:AU83" si="70">IF(AV66="○",P66,"")</f>
        <v>25000</v>
      </c>
      <c r="AV66" s="10" t="str">
        <f t="shared" ref="AV66:AV83" si="71">BR66</f>
        <v>○</v>
      </c>
      <c r="AW66" s="8">
        <f t="shared" ref="AW66:AW83" si="72">IF(AX66="○",Y66,"")</f>
        <v>8333.3333333333339</v>
      </c>
      <c r="AX66" s="10" t="str">
        <f t="shared" ref="AX66:AX83" si="73">BR66</f>
        <v>○</v>
      </c>
      <c r="AY66" s="8" t="str">
        <f t="shared" ref="AY66:AY83" si="74">IF(AZ66="○",AH66,"")</f>
        <v/>
      </c>
      <c r="AZ66" s="10" t="str">
        <f t="shared" ref="AZ66:AZ83" si="75">BR66</f>
        <v>○</v>
      </c>
      <c r="BA66" s="8" t="str">
        <f t="shared" ref="BA66:BA83" si="76">IF(BB66="○",P66,"")</f>
        <v/>
      </c>
      <c r="BB66" s="10" t="str">
        <f t="shared" ref="BB66:BB83" si="77">BS66</f>
        <v>△</v>
      </c>
      <c r="BC66" s="8" t="str">
        <f t="shared" ref="BC66:BC83" si="78">IF(BD66="○",Y66,"")</f>
        <v/>
      </c>
      <c r="BD66" s="10" t="str">
        <f t="shared" ref="BD66:BD83" si="79">BS66</f>
        <v>△</v>
      </c>
      <c r="BE66" s="8" t="str">
        <f t="shared" ref="BE66:BE83" si="80">IF(BF66="○",AH66,"")</f>
        <v/>
      </c>
      <c r="BF66" s="10" t="str">
        <f t="shared" ref="BF66:BF83" si="81">BS66</f>
        <v>△</v>
      </c>
      <c r="BG66" s="8" t="str">
        <f t="shared" ref="BG66:BG83" si="82">IF(BH66="○",P66,"")</f>
        <v/>
      </c>
      <c r="BH66" s="10" t="str">
        <f t="shared" ref="BH66:BH83" si="83">BT66</f>
        <v>△</v>
      </c>
      <c r="BI66" s="8" t="str">
        <f t="shared" ref="BI66:BI83" si="84">IF(BH66="○",Y66,"")</f>
        <v/>
      </c>
      <c r="BJ66" s="1" t="s">
        <v>977</v>
      </c>
      <c r="BK66" s="1" t="s">
        <v>1102</v>
      </c>
      <c r="BL66" s="1" t="s">
        <v>977</v>
      </c>
      <c r="BM66" s="1" t="s">
        <v>977</v>
      </c>
      <c r="BN66" s="1" t="s">
        <v>1102</v>
      </c>
      <c r="BO66" s="1" t="s">
        <v>1102</v>
      </c>
      <c r="BP66" s="1" t="s">
        <v>1103</v>
      </c>
      <c r="BQ66" s="1" t="s">
        <v>1103</v>
      </c>
      <c r="BR66" s="1" t="s">
        <v>1103</v>
      </c>
      <c r="BS66" s="1" t="s">
        <v>622</v>
      </c>
      <c r="BT66" s="1" t="s">
        <v>622</v>
      </c>
    </row>
    <row r="67" spans="1:72" x14ac:dyDescent="0.3">
      <c r="A67">
        <v>66</v>
      </c>
      <c r="B67" t="s">
        <v>705</v>
      </c>
      <c r="C67" t="s">
        <v>1084</v>
      </c>
      <c r="D67" t="s">
        <v>63</v>
      </c>
      <c r="E67" t="s">
        <v>1085</v>
      </c>
      <c r="F67" t="s">
        <v>1086</v>
      </c>
      <c r="G67" t="s">
        <v>1087</v>
      </c>
      <c r="H67">
        <v>2</v>
      </c>
      <c r="I67" s="8"/>
      <c r="J67" s="8"/>
      <c r="K67" s="39">
        <v>8.3333333333333329E-2</v>
      </c>
      <c r="L67" s="8">
        <v>3</v>
      </c>
      <c r="M67" s="8">
        <v>15000</v>
      </c>
      <c r="N67" s="8"/>
      <c r="O67" s="8"/>
      <c r="P67" s="8">
        <f t="shared" si="57"/>
        <v>3750</v>
      </c>
      <c r="Q67" s="8">
        <v>2</v>
      </c>
      <c r="R67" s="8"/>
      <c r="S67" s="8"/>
      <c r="T67" s="39">
        <v>8.3333333333333329E-2</v>
      </c>
      <c r="U67" s="8">
        <v>12</v>
      </c>
      <c r="V67" s="8">
        <v>25000</v>
      </c>
      <c r="W67" s="8"/>
      <c r="X67" s="8"/>
      <c r="Y67" s="8">
        <f t="shared" si="28"/>
        <v>25000</v>
      </c>
      <c r="Z67" s="8">
        <v>1</v>
      </c>
      <c r="AA67" s="8"/>
      <c r="AB67" s="8"/>
      <c r="AC67" s="39"/>
      <c r="AD67" s="8"/>
      <c r="AE67" s="8"/>
      <c r="AF67" s="8"/>
      <c r="AG67" s="8"/>
      <c r="AH67" s="8" t="str">
        <f t="shared" si="29"/>
        <v/>
      </c>
      <c r="AI67" s="8">
        <f t="shared" si="58"/>
        <v>3750</v>
      </c>
      <c r="AJ67" s="10" t="str">
        <f t="shared" si="59"/>
        <v>○</v>
      </c>
      <c r="AK67" s="8">
        <f t="shared" si="60"/>
        <v>25000</v>
      </c>
      <c r="AL67" s="10" t="str">
        <f t="shared" si="61"/>
        <v>○</v>
      </c>
      <c r="AM67" s="8" t="str">
        <f t="shared" si="62"/>
        <v/>
      </c>
      <c r="AN67" s="10" t="str">
        <f t="shared" si="63"/>
        <v>○</v>
      </c>
      <c r="AO67" s="8">
        <f t="shared" si="64"/>
        <v>3750</v>
      </c>
      <c r="AP67" s="10" t="str">
        <f t="shared" si="65"/>
        <v>○</v>
      </c>
      <c r="AQ67" s="8">
        <f t="shared" si="66"/>
        <v>25000</v>
      </c>
      <c r="AR67" s="10" t="str">
        <f t="shared" si="67"/>
        <v>○</v>
      </c>
      <c r="AS67" s="8" t="str">
        <f t="shared" si="68"/>
        <v/>
      </c>
      <c r="AT67" s="10" t="str">
        <f t="shared" si="69"/>
        <v>○</v>
      </c>
      <c r="AU67" s="8">
        <f t="shared" si="70"/>
        <v>3750</v>
      </c>
      <c r="AV67" s="10" t="str">
        <f t="shared" si="71"/>
        <v>○</v>
      </c>
      <c r="AW67" s="8">
        <f t="shared" si="72"/>
        <v>25000</v>
      </c>
      <c r="AX67" s="10" t="str">
        <f t="shared" si="73"/>
        <v>○</v>
      </c>
      <c r="AY67" s="8" t="str">
        <f t="shared" si="74"/>
        <v/>
      </c>
      <c r="AZ67" s="10" t="str">
        <f t="shared" si="75"/>
        <v>○</v>
      </c>
      <c r="BA67" s="8">
        <f t="shared" si="76"/>
        <v>3750</v>
      </c>
      <c r="BB67" s="10" t="str">
        <f t="shared" si="77"/>
        <v>○</v>
      </c>
      <c r="BC67" s="8">
        <f t="shared" si="78"/>
        <v>25000</v>
      </c>
      <c r="BD67" s="10" t="str">
        <f t="shared" si="79"/>
        <v>○</v>
      </c>
      <c r="BE67" s="8" t="str">
        <f t="shared" si="80"/>
        <v/>
      </c>
      <c r="BF67" s="10" t="str">
        <f t="shared" si="81"/>
        <v>○</v>
      </c>
      <c r="BG67" s="8">
        <f t="shared" si="82"/>
        <v>3750</v>
      </c>
      <c r="BH67" s="10" t="str">
        <f t="shared" si="83"/>
        <v>○</v>
      </c>
      <c r="BI67" s="8">
        <f t="shared" si="84"/>
        <v>25000</v>
      </c>
      <c r="BJ67" s="1" t="s">
        <v>1104</v>
      </c>
      <c r="BK67" s="1" t="s">
        <v>1104</v>
      </c>
      <c r="BL67" s="1" t="s">
        <v>1105</v>
      </c>
      <c r="BM67" s="1" t="s">
        <v>1105</v>
      </c>
      <c r="BN67" s="1" t="s">
        <v>1104</v>
      </c>
      <c r="BO67" s="1" t="s">
        <v>1104</v>
      </c>
      <c r="BP67" s="1" t="s">
        <v>1103</v>
      </c>
      <c r="BQ67" s="1" t="s">
        <v>1103</v>
      </c>
      <c r="BR67" s="1" t="s">
        <v>1103</v>
      </c>
      <c r="BS67" s="1" t="s">
        <v>1103</v>
      </c>
      <c r="BT67" s="1" t="s">
        <v>1103</v>
      </c>
    </row>
    <row r="68" spans="1:72" x14ac:dyDescent="0.3">
      <c r="A68">
        <v>67</v>
      </c>
      <c r="B68" t="s">
        <v>1078</v>
      </c>
      <c r="C68" t="s">
        <v>708</v>
      </c>
      <c r="D68" t="s">
        <v>63</v>
      </c>
      <c r="E68" t="s">
        <v>800</v>
      </c>
      <c r="F68" t="s">
        <v>930</v>
      </c>
      <c r="G68" t="s">
        <v>931</v>
      </c>
      <c r="H68">
        <v>2</v>
      </c>
      <c r="I68" s="8"/>
      <c r="J68" s="8"/>
      <c r="K68" s="39">
        <v>8.3333333333333329E-2</v>
      </c>
      <c r="L68" s="8">
        <v>12</v>
      </c>
      <c r="M68" s="8">
        <v>100000</v>
      </c>
      <c r="N68" s="8"/>
      <c r="O68" s="8"/>
      <c r="P68" s="8">
        <f t="shared" si="57"/>
        <v>100000</v>
      </c>
      <c r="Q68" s="8">
        <v>2</v>
      </c>
      <c r="R68" s="8"/>
      <c r="S68" s="8"/>
      <c r="T68" s="39">
        <v>8.3333333333333329E-2</v>
      </c>
      <c r="U68" s="8">
        <v>12</v>
      </c>
      <c r="V68" s="8">
        <v>100000</v>
      </c>
      <c r="W68" s="8"/>
      <c r="X68" s="8"/>
      <c r="Y68" s="8">
        <f t="shared" si="28"/>
        <v>100000</v>
      </c>
      <c r="Z68" s="8">
        <v>2</v>
      </c>
      <c r="AA68" s="8"/>
      <c r="AB68" s="8"/>
      <c r="AC68" s="39"/>
      <c r="AD68" s="8"/>
      <c r="AE68" s="8"/>
      <c r="AF68" s="8"/>
      <c r="AG68" s="8"/>
      <c r="AH68" s="8" t="str">
        <f t="shared" si="29"/>
        <v/>
      </c>
      <c r="AI68" s="8">
        <f t="shared" si="58"/>
        <v>100000</v>
      </c>
      <c r="AJ68" s="10" t="str">
        <f t="shared" si="59"/>
        <v>○</v>
      </c>
      <c r="AK68" s="8">
        <f t="shared" si="60"/>
        <v>100000</v>
      </c>
      <c r="AL68" s="10" t="str">
        <f t="shared" si="61"/>
        <v>○</v>
      </c>
      <c r="AM68" s="8" t="str">
        <f t="shared" si="62"/>
        <v/>
      </c>
      <c r="AN68" s="10" t="str">
        <f t="shared" si="63"/>
        <v>○</v>
      </c>
      <c r="AO68" s="8">
        <f t="shared" si="64"/>
        <v>100000</v>
      </c>
      <c r="AP68" s="10" t="str">
        <f t="shared" si="65"/>
        <v>○</v>
      </c>
      <c r="AQ68" s="8">
        <f t="shared" si="66"/>
        <v>100000</v>
      </c>
      <c r="AR68" s="10" t="str">
        <f t="shared" si="67"/>
        <v>○</v>
      </c>
      <c r="AS68" s="8" t="str">
        <f t="shared" si="68"/>
        <v/>
      </c>
      <c r="AT68" s="10" t="str">
        <f t="shared" si="69"/>
        <v>○</v>
      </c>
      <c r="AU68" s="8">
        <f t="shared" si="70"/>
        <v>100000</v>
      </c>
      <c r="AV68" s="10" t="str">
        <f t="shared" si="71"/>
        <v>○</v>
      </c>
      <c r="AW68" s="8">
        <f t="shared" si="72"/>
        <v>100000</v>
      </c>
      <c r="AX68" s="10" t="str">
        <f t="shared" si="73"/>
        <v>○</v>
      </c>
      <c r="AY68" s="8" t="str">
        <f t="shared" si="74"/>
        <v/>
      </c>
      <c r="AZ68" s="10" t="str">
        <f t="shared" si="75"/>
        <v>○</v>
      </c>
      <c r="BA68" s="8">
        <f t="shared" si="76"/>
        <v>100000</v>
      </c>
      <c r="BB68" s="10" t="str">
        <f t="shared" si="77"/>
        <v>○</v>
      </c>
      <c r="BC68" s="8">
        <f t="shared" si="78"/>
        <v>100000</v>
      </c>
      <c r="BD68" s="10" t="str">
        <f t="shared" si="79"/>
        <v>○</v>
      </c>
      <c r="BE68" s="8" t="str">
        <f t="shared" si="80"/>
        <v/>
      </c>
      <c r="BF68" s="10" t="str">
        <f t="shared" si="81"/>
        <v>○</v>
      </c>
      <c r="BG68" s="8">
        <f t="shared" si="82"/>
        <v>100000</v>
      </c>
      <c r="BH68" s="10" t="str">
        <f t="shared" si="83"/>
        <v>○</v>
      </c>
      <c r="BI68" s="8">
        <f t="shared" si="84"/>
        <v>100000</v>
      </c>
      <c r="BJ68" s="1" t="s">
        <v>1102</v>
      </c>
      <c r="BK68" s="1" t="s">
        <v>1102</v>
      </c>
      <c r="BL68" s="1" t="s">
        <v>977</v>
      </c>
      <c r="BM68" s="1" t="s">
        <v>977</v>
      </c>
      <c r="BN68" s="1" t="s">
        <v>1102</v>
      </c>
      <c r="BO68" s="1" t="s">
        <v>1102</v>
      </c>
      <c r="BP68" s="1" t="s">
        <v>1103</v>
      </c>
      <c r="BQ68" s="1" t="s">
        <v>1103</v>
      </c>
      <c r="BR68" s="1" t="s">
        <v>1103</v>
      </c>
      <c r="BS68" s="1" t="s">
        <v>1103</v>
      </c>
      <c r="BT68" s="1" t="s">
        <v>1103</v>
      </c>
    </row>
    <row r="69" spans="1:72" x14ac:dyDescent="0.3">
      <c r="A69">
        <v>68</v>
      </c>
      <c r="B69" t="s">
        <v>1078</v>
      </c>
      <c r="C69" t="s">
        <v>709</v>
      </c>
      <c r="D69" t="s">
        <v>63</v>
      </c>
      <c r="E69" t="s">
        <v>768</v>
      </c>
      <c r="F69" t="s">
        <v>932</v>
      </c>
      <c r="G69" t="s">
        <v>933</v>
      </c>
      <c r="H69">
        <v>2</v>
      </c>
      <c r="I69" s="8"/>
      <c r="J69" s="8"/>
      <c r="K69" s="39">
        <v>8.3333333333333329E-2</v>
      </c>
      <c r="L69" s="8">
        <v>12</v>
      </c>
      <c r="M69" s="8">
        <v>20000</v>
      </c>
      <c r="N69" s="8"/>
      <c r="O69" s="8"/>
      <c r="P69" s="8">
        <f t="shared" si="57"/>
        <v>20000</v>
      </c>
      <c r="Q69" s="8">
        <v>2</v>
      </c>
      <c r="R69" s="8"/>
      <c r="S69" s="8"/>
      <c r="T69" s="39">
        <v>8.3333333333333329E-2</v>
      </c>
      <c r="U69" s="8">
        <v>12</v>
      </c>
      <c r="V69" s="8">
        <v>50000</v>
      </c>
      <c r="W69" s="8"/>
      <c r="X69" s="8"/>
      <c r="Y69" s="8">
        <f t="shared" ref="Y69:Y83" si="85">IF($Q69=1,IF(AND(R69&lt;&gt;"",S69&lt;&gt;""),R69/S69/12,""),IF($Q69=2,IF(AND(T69&lt;&gt;"",U69&lt;&gt;"",V69&lt;&gt;""),T69*U69*V69,""),IF($Q69=3,IF(AND(W69&lt;&gt;"",X69&lt;&gt;""),W69/X69/12,""),IF($Q69=4,IF(AND(R69&lt;&gt;"",S69&lt;&gt;""),R69/S69/12,0)+IF(AND(T69&lt;&gt;"",U69&lt;&gt;"",V69&lt;&gt;""),T69*U69*V69,0),IF($Q69=5,IF(AND(R69&lt;&gt;"",S69&lt;&gt;""),R69/S69/12,0)+IF(AND(W69&lt;&gt;"",X69&lt;&gt;""),W69/X69/12,0),IF($Q69=6,IF(AND(T69&lt;&gt;"",U69&lt;&gt;"",V69&lt;&gt;""),T69*U69*V69,0)+IF(AND(W69&lt;&gt;"",X69&lt;&gt;""),W69/X69/12,0),""))))))</f>
        <v>50000</v>
      </c>
      <c r="Z69" s="8">
        <v>2</v>
      </c>
      <c r="AA69" s="8"/>
      <c r="AB69" s="8"/>
      <c r="AC69" s="39">
        <v>8.3333333333333329E-2</v>
      </c>
      <c r="AD69" s="8">
        <v>3</v>
      </c>
      <c r="AE69" s="8">
        <v>20000</v>
      </c>
      <c r="AF69" s="8"/>
      <c r="AG69" s="8"/>
      <c r="AH69" s="8">
        <f t="shared" ref="AH69:AH83" si="86">IF($Z69=1,IF(AND(AA69&lt;&gt;"",AB69&lt;&gt;""),AA69/AB69/12,""),IF($Z69=2,IF(AND(AC69&lt;&gt;"",AD69&lt;&gt;"",AE69&lt;&gt;""),AC69*AD69*AE69,""),IF($Z69=3,IF(AND(AF69&lt;&gt;"",AG69&lt;&gt;""),AF69/AG69/12,""),IF($Z69=4,IF(AND(AA69&lt;&gt;"",AB69&lt;&gt;""),AA69/AB69/12,0)+IF(AND(AC69&lt;&gt;"",AD69&lt;&gt;"",AE69&lt;&gt;""),AC69*AD69*AE69,0),IF($Z69=5,IF(AND(AA69&lt;&gt;"",AB69&lt;&gt;""),AA69/AB69/12,0)+IF(AND(AF69&lt;&gt;"",AG69&lt;&gt;""),AF69/AG69/12,0),IF($Z69=6,IF(AND(AC69&lt;&gt;"",AD69&lt;&gt;"",AE69&lt;&gt;""),AC69*AD69*AE69,0)+IF(AND(AF69&lt;&gt;"",AG69&lt;&gt;""),AF69/AG69/12,0),""))))))</f>
        <v>5000</v>
      </c>
      <c r="AI69" s="8">
        <f t="shared" si="58"/>
        <v>20000</v>
      </c>
      <c r="AJ69" s="10" t="str">
        <f t="shared" si="59"/>
        <v>○</v>
      </c>
      <c r="AK69" s="8">
        <f t="shared" si="60"/>
        <v>50000</v>
      </c>
      <c r="AL69" s="10" t="str">
        <f t="shared" si="61"/>
        <v>○</v>
      </c>
      <c r="AM69" s="8">
        <f t="shared" si="62"/>
        <v>5000</v>
      </c>
      <c r="AN69" s="10" t="str">
        <f t="shared" si="63"/>
        <v>○</v>
      </c>
      <c r="AO69" s="8">
        <f t="shared" si="64"/>
        <v>20000</v>
      </c>
      <c r="AP69" s="10" t="str">
        <f t="shared" si="65"/>
        <v>○</v>
      </c>
      <c r="AQ69" s="8">
        <f t="shared" si="66"/>
        <v>50000</v>
      </c>
      <c r="AR69" s="10" t="str">
        <f t="shared" si="67"/>
        <v>○</v>
      </c>
      <c r="AS69" s="8">
        <f t="shared" si="68"/>
        <v>5000</v>
      </c>
      <c r="AT69" s="10" t="str">
        <f t="shared" si="69"/>
        <v>○</v>
      </c>
      <c r="AU69" s="8">
        <f t="shared" si="70"/>
        <v>20000</v>
      </c>
      <c r="AV69" s="10" t="str">
        <f t="shared" si="71"/>
        <v>○</v>
      </c>
      <c r="AW69" s="8">
        <f t="shared" si="72"/>
        <v>50000</v>
      </c>
      <c r="AX69" s="10" t="str">
        <f t="shared" si="73"/>
        <v>○</v>
      </c>
      <c r="AY69" s="8">
        <f t="shared" si="74"/>
        <v>5000</v>
      </c>
      <c r="AZ69" s="10" t="str">
        <f t="shared" si="75"/>
        <v>○</v>
      </c>
      <c r="BA69" s="8">
        <f t="shared" si="76"/>
        <v>20000</v>
      </c>
      <c r="BB69" s="10" t="str">
        <f t="shared" si="77"/>
        <v>○</v>
      </c>
      <c r="BC69" s="8">
        <f t="shared" si="78"/>
        <v>50000</v>
      </c>
      <c r="BD69" s="10" t="str">
        <f t="shared" si="79"/>
        <v>○</v>
      </c>
      <c r="BE69" s="8">
        <f t="shared" si="80"/>
        <v>5000</v>
      </c>
      <c r="BF69" s="10" t="str">
        <f t="shared" si="81"/>
        <v>○</v>
      </c>
      <c r="BG69" s="8">
        <f t="shared" si="82"/>
        <v>20000</v>
      </c>
      <c r="BH69" s="10" t="str">
        <f t="shared" si="83"/>
        <v>○</v>
      </c>
      <c r="BI69" s="8">
        <f t="shared" si="84"/>
        <v>50000</v>
      </c>
      <c r="BJ69" s="1" t="s">
        <v>977</v>
      </c>
      <c r="BK69" s="1" t="s">
        <v>1102</v>
      </c>
      <c r="BL69" s="1" t="s">
        <v>977</v>
      </c>
      <c r="BM69" s="1" t="s">
        <v>977</v>
      </c>
      <c r="BN69" s="1" t="s">
        <v>977</v>
      </c>
      <c r="BO69" s="1" t="s">
        <v>1102</v>
      </c>
      <c r="BP69" s="1" t="s">
        <v>1103</v>
      </c>
      <c r="BQ69" s="1" t="s">
        <v>1103</v>
      </c>
      <c r="BR69" s="1" t="s">
        <v>1103</v>
      </c>
      <c r="BS69" s="1" t="s">
        <v>1103</v>
      </c>
      <c r="BT69" s="1" t="s">
        <v>1103</v>
      </c>
    </row>
    <row r="70" spans="1:72" x14ac:dyDescent="0.3">
      <c r="A70">
        <v>69</v>
      </c>
      <c r="B70" t="s">
        <v>1078</v>
      </c>
      <c r="C70" t="s">
        <v>1077</v>
      </c>
      <c r="D70" t="s">
        <v>16</v>
      </c>
      <c r="E70" t="s">
        <v>711</v>
      </c>
      <c r="F70" t="s">
        <v>934</v>
      </c>
      <c r="G70" t="s">
        <v>935</v>
      </c>
      <c r="H70">
        <v>2</v>
      </c>
      <c r="I70" s="8"/>
      <c r="J70" s="8"/>
      <c r="K70" s="39">
        <v>8.3333333333333329E-2</v>
      </c>
      <c r="L70" s="8">
        <v>36</v>
      </c>
      <c r="M70" s="8">
        <v>80000</v>
      </c>
      <c r="N70" s="8"/>
      <c r="O70" s="8"/>
      <c r="P70" s="8">
        <f t="shared" si="57"/>
        <v>240000</v>
      </c>
      <c r="Q70" s="8">
        <v>2</v>
      </c>
      <c r="R70" s="8"/>
      <c r="S70" s="8"/>
      <c r="T70" s="39">
        <v>8.3333333333333329E-2</v>
      </c>
      <c r="U70" s="8">
        <v>48</v>
      </c>
      <c r="V70" s="8">
        <v>150000</v>
      </c>
      <c r="W70" s="8"/>
      <c r="X70" s="8"/>
      <c r="Y70" s="8">
        <f t="shared" si="85"/>
        <v>600000</v>
      </c>
      <c r="Z70" s="8">
        <v>2</v>
      </c>
      <c r="AA70" s="8"/>
      <c r="AB70" s="8"/>
      <c r="AC70" s="39">
        <v>8.3333333333333329E-2</v>
      </c>
      <c r="AD70" s="8">
        <v>48</v>
      </c>
      <c r="AE70" s="8">
        <v>80000</v>
      </c>
      <c r="AF70" s="8"/>
      <c r="AG70" s="8"/>
      <c r="AH70" s="8">
        <f t="shared" si="86"/>
        <v>320000</v>
      </c>
      <c r="AI70" s="8" t="str">
        <f t="shared" si="58"/>
        <v/>
      </c>
      <c r="AJ70" s="10" t="str">
        <f t="shared" si="59"/>
        <v>△</v>
      </c>
      <c r="AK70" s="8" t="str">
        <f t="shared" si="60"/>
        <v/>
      </c>
      <c r="AL70" s="10" t="str">
        <f t="shared" si="61"/>
        <v>△</v>
      </c>
      <c r="AM70" s="8" t="str">
        <f t="shared" si="62"/>
        <v/>
      </c>
      <c r="AN70" s="10" t="str">
        <f t="shared" si="63"/>
        <v>△</v>
      </c>
      <c r="AO70" s="8" t="str">
        <f t="shared" si="64"/>
        <v/>
      </c>
      <c r="AP70" s="10" t="str">
        <f t="shared" si="65"/>
        <v>△</v>
      </c>
      <c r="AQ70" s="8" t="str">
        <f t="shared" si="66"/>
        <v/>
      </c>
      <c r="AR70" s="10" t="str">
        <f t="shared" si="67"/>
        <v>△</v>
      </c>
      <c r="AS70" s="8" t="str">
        <f t="shared" si="68"/>
        <v/>
      </c>
      <c r="AT70" s="10" t="str">
        <f t="shared" si="69"/>
        <v>△</v>
      </c>
      <c r="AU70" s="8">
        <f t="shared" si="70"/>
        <v>240000</v>
      </c>
      <c r="AV70" s="10" t="str">
        <f t="shared" si="71"/>
        <v>○</v>
      </c>
      <c r="AW70" s="8">
        <f t="shared" si="72"/>
        <v>600000</v>
      </c>
      <c r="AX70" s="10" t="str">
        <f t="shared" si="73"/>
        <v>○</v>
      </c>
      <c r="AY70" s="8">
        <f t="shared" si="74"/>
        <v>320000</v>
      </c>
      <c r="AZ70" s="10" t="str">
        <f t="shared" si="75"/>
        <v>○</v>
      </c>
      <c r="BA70" s="8">
        <f t="shared" si="76"/>
        <v>240000</v>
      </c>
      <c r="BB70" s="10" t="str">
        <f t="shared" si="77"/>
        <v>○</v>
      </c>
      <c r="BC70" s="8">
        <f t="shared" si="78"/>
        <v>600000</v>
      </c>
      <c r="BD70" s="10" t="str">
        <f t="shared" si="79"/>
        <v>○</v>
      </c>
      <c r="BE70" s="8">
        <f t="shared" si="80"/>
        <v>320000</v>
      </c>
      <c r="BF70" s="10" t="str">
        <f t="shared" si="81"/>
        <v>○</v>
      </c>
      <c r="BG70" s="8" t="str">
        <f t="shared" si="82"/>
        <v/>
      </c>
      <c r="BH70" s="10" t="str">
        <f t="shared" si="83"/>
        <v>△</v>
      </c>
      <c r="BI70" s="8" t="str">
        <f t="shared" si="84"/>
        <v/>
      </c>
      <c r="BJ70" s="1" t="s">
        <v>1102</v>
      </c>
      <c r="BK70" s="1" t="s">
        <v>1102</v>
      </c>
      <c r="BL70" s="1" t="s">
        <v>977</v>
      </c>
      <c r="BM70" s="1" t="s">
        <v>977</v>
      </c>
      <c r="BN70" s="1" t="s">
        <v>1102</v>
      </c>
      <c r="BO70" s="1" t="s">
        <v>1102</v>
      </c>
      <c r="BP70" s="1" t="s">
        <v>622</v>
      </c>
      <c r="BQ70" s="1" t="s">
        <v>622</v>
      </c>
      <c r="BR70" s="1" t="s">
        <v>1103</v>
      </c>
      <c r="BS70" s="1" t="s">
        <v>1103</v>
      </c>
      <c r="BT70" s="1" t="s">
        <v>622</v>
      </c>
    </row>
    <row r="71" spans="1:72" x14ac:dyDescent="0.3">
      <c r="A71">
        <v>70</v>
      </c>
      <c r="B71" t="s">
        <v>1078</v>
      </c>
      <c r="C71" t="s">
        <v>769</v>
      </c>
      <c r="D71" t="s">
        <v>25</v>
      </c>
      <c r="E71" t="s">
        <v>801</v>
      </c>
      <c r="F71" t="s">
        <v>936</v>
      </c>
      <c r="G71" t="s">
        <v>967</v>
      </c>
      <c r="H71">
        <v>2</v>
      </c>
      <c r="I71" s="8"/>
      <c r="J71" s="8"/>
      <c r="K71" s="39">
        <v>8.3333333333333329E-2</v>
      </c>
      <c r="L71" s="8">
        <v>12</v>
      </c>
      <c r="M71" s="8">
        <v>80000</v>
      </c>
      <c r="N71" s="8"/>
      <c r="O71" s="8"/>
      <c r="P71" s="8">
        <f t="shared" si="57"/>
        <v>80000</v>
      </c>
      <c r="Q71" s="8">
        <v>2</v>
      </c>
      <c r="R71" s="8"/>
      <c r="S71" s="8"/>
      <c r="T71" s="39">
        <v>8.3333333333333329E-2</v>
      </c>
      <c r="U71" s="8">
        <v>48</v>
      </c>
      <c r="V71" s="8">
        <v>100000</v>
      </c>
      <c r="W71" s="8"/>
      <c r="X71" s="8"/>
      <c r="Y71" s="8">
        <f t="shared" si="85"/>
        <v>400000</v>
      </c>
      <c r="Z71" s="8">
        <v>2</v>
      </c>
      <c r="AA71" s="8"/>
      <c r="AB71" s="8"/>
      <c r="AC71" s="39">
        <v>8.3333333333333329E-2</v>
      </c>
      <c r="AD71" s="8">
        <v>48</v>
      </c>
      <c r="AE71" s="8">
        <v>10000</v>
      </c>
      <c r="AF71" s="8"/>
      <c r="AG71" s="8"/>
      <c r="AH71" s="8">
        <f t="shared" si="86"/>
        <v>40000</v>
      </c>
      <c r="AI71" s="8">
        <f t="shared" si="58"/>
        <v>80000</v>
      </c>
      <c r="AJ71" s="10" t="str">
        <f t="shared" si="59"/>
        <v>○</v>
      </c>
      <c r="AK71" s="8">
        <f t="shared" si="60"/>
        <v>400000</v>
      </c>
      <c r="AL71" s="10" t="str">
        <f t="shared" si="61"/>
        <v>○</v>
      </c>
      <c r="AM71" s="8">
        <f t="shared" si="62"/>
        <v>40000</v>
      </c>
      <c r="AN71" s="10" t="str">
        <f t="shared" si="63"/>
        <v>○</v>
      </c>
      <c r="AO71" s="8" t="str">
        <f t="shared" si="64"/>
        <v/>
      </c>
      <c r="AP71" s="10" t="str">
        <f t="shared" si="65"/>
        <v>△</v>
      </c>
      <c r="AQ71" s="8" t="str">
        <f t="shared" si="66"/>
        <v/>
      </c>
      <c r="AR71" s="10" t="str">
        <f t="shared" si="67"/>
        <v>△</v>
      </c>
      <c r="AS71" s="8" t="str">
        <f t="shared" si="68"/>
        <v/>
      </c>
      <c r="AT71" s="10" t="str">
        <f t="shared" si="69"/>
        <v>△</v>
      </c>
      <c r="AU71" s="8">
        <f t="shared" si="70"/>
        <v>80000</v>
      </c>
      <c r="AV71" s="10" t="str">
        <f t="shared" si="71"/>
        <v>○</v>
      </c>
      <c r="AW71" s="8">
        <f t="shared" si="72"/>
        <v>400000</v>
      </c>
      <c r="AX71" s="10" t="str">
        <f t="shared" si="73"/>
        <v>○</v>
      </c>
      <c r="AY71" s="8">
        <f t="shared" si="74"/>
        <v>40000</v>
      </c>
      <c r="AZ71" s="10" t="str">
        <f t="shared" si="75"/>
        <v>○</v>
      </c>
      <c r="BA71" s="8" t="str">
        <f t="shared" si="76"/>
        <v/>
      </c>
      <c r="BB71" s="10" t="str">
        <f t="shared" si="77"/>
        <v>△</v>
      </c>
      <c r="BC71" s="8" t="str">
        <f t="shared" si="78"/>
        <v/>
      </c>
      <c r="BD71" s="10" t="str">
        <f t="shared" si="79"/>
        <v>△</v>
      </c>
      <c r="BE71" s="8" t="str">
        <f t="shared" si="80"/>
        <v/>
      </c>
      <c r="BF71" s="10" t="str">
        <f t="shared" si="81"/>
        <v>△</v>
      </c>
      <c r="BG71" s="8" t="str">
        <f t="shared" si="82"/>
        <v/>
      </c>
      <c r="BH71" s="10" t="str">
        <f t="shared" si="83"/>
        <v>△</v>
      </c>
      <c r="BI71" s="8" t="str">
        <f t="shared" si="84"/>
        <v/>
      </c>
      <c r="BJ71" s="1" t="s">
        <v>977</v>
      </c>
      <c r="BK71" s="1" t="s">
        <v>1102</v>
      </c>
      <c r="BL71" s="1" t="s">
        <v>977</v>
      </c>
      <c r="BM71" s="1" t="s">
        <v>977</v>
      </c>
      <c r="BN71" s="1" t="s">
        <v>1102</v>
      </c>
      <c r="BO71" s="1" t="s">
        <v>1102</v>
      </c>
      <c r="BP71" s="1" t="s">
        <v>1103</v>
      </c>
      <c r="BQ71" s="1" t="s">
        <v>622</v>
      </c>
      <c r="BR71" s="1" t="s">
        <v>1103</v>
      </c>
      <c r="BS71" s="1" t="s">
        <v>622</v>
      </c>
      <c r="BT71" s="1" t="s">
        <v>622</v>
      </c>
    </row>
    <row r="72" spans="1:72" x14ac:dyDescent="0.3">
      <c r="A72">
        <v>71</v>
      </c>
      <c r="B72" t="s">
        <v>712</v>
      </c>
      <c r="C72" t="s">
        <v>713</v>
      </c>
      <c r="D72" t="s">
        <v>25</v>
      </c>
      <c r="E72" t="s">
        <v>772</v>
      </c>
      <c r="F72" t="s">
        <v>937</v>
      </c>
      <c r="G72" t="s">
        <v>938</v>
      </c>
      <c r="H72">
        <v>2</v>
      </c>
      <c r="I72" s="8"/>
      <c r="J72" s="8"/>
      <c r="K72" s="39">
        <v>8.3333333333333329E-2</v>
      </c>
      <c r="L72" s="8">
        <v>6</v>
      </c>
      <c r="M72" s="8">
        <v>100000</v>
      </c>
      <c r="N72" s="8"/>
      <c r="O72" s="8"/>
      <c r="P72" s="8">
        <f t="shared" si="57"/>
        <v>50000</v>
      </c>
      <c r="Q72" s="8">
        <v>2</v>
      </c>
      <c r="R72" s="8"/>
      <c r="S72" s="8"/>
      <c r="T72" s="39">
        <v>8.3333333333333329E-2</v>
      </c>
      <c r="U72" s="8">
        <v>3</v>
      </c>
      <c r="V72" s="8">
        <v>500000</v>
      </c>
      <c r="W72" s="8"/>
      <c r="X72" s="8"/>
      <c r="Y72" s="8">
        <f t="shared" si="85"/>
        <v>125000</v>
      </c>
      <c r="Z72" s="8">
        <v>2</v>
      </c>
      <c r="AA72" s="8"/>
      <c r="AB72" s="8"/>
      <c r="AC72" s="39">
        <v>8.3333333333333329E-2</v>
      </c>
      <c r="AD72" s="8">
        <v>6</v>
      </c>
      <c r="AE72" s="8">
        <v>15000</v>
      </c>
      <c r="AF72" s="8"/>
      <c r="AG72" s="8"/>
      <c r="AH72" s="8">
        <f t="shared" si="86"/>
        <v>7500</v>
      </c>
      <c r="AI72" s="8">
        <f t="shared" si="58"/>
        <v>50000</v>
      </c>
      <c r="AJ72" s="10" t="str">
        <f t="shared" si="59"/>
        <v>○</v>
      </c>
      <c r="AK72" s="8">
        <f t="shared" si="60"/>
        <v>125000</v>
      </c>
      <c r="AL72" s="10" t="str">
        <f t="shared" si="61"/>
        <v>○</v>
      </c>
      <c r="AM72" s="8">
        <f t="shared" si="62"/>
        <v>7500</v>
      </c>
      <c r="AN72" s="10" t="str">
        <f t="shared" si="63"/>
        <v>○</v>
      </c>
      <c r="AO72" s="8">
        <f t="shared" si="64"/>
        <v>50000</v>
      </c>
      <c r="AP72" s="10" t="str">
        <f t="shared" si="65"/>
        <v>○</v>
      </c>
      <c r="AQ72" s="8">
        <f t="shared" si="66"/>
        <v>125000</v>
      </c>
      <c r="AR72" s="10" t="str">
        <f t="shared" si="67"/>
        <v>○</v>
      </c>
      <c r="AS72" s="8">
        <f t="shared" si="68"/>
        <v>7500</v>
      </c>
      <c r="AT72" s="10" t="str">
        <f t="shared" si="69"/>
        <v>○</v>
      </c>
      <c r="AU72" s="8">
        <f t="shared" si="70"/>
        <v>50000</v>
      </c>
      <c r="AV72" s="10" t="str">
        <f t="shared" si="71"/>
        <v>○</v>
      </c>
      <c r="AW72" s="8">
        <f t="shared" si="72"/>
        <v>125000</v>
      </c>
      <c r="AX72" s="10" t="str">
        <f t="shared" si="73"/>
        <v>○</v>
      </c>
      <c r="AY72" s="8">
        <f t="shared" si="74"/>
        <v>7500</v>
      </c>
      <c r="AZ72" s="10" t="str">
        <f t="shared" si="75"/>
        <v>○</v>
      </c>
      <c r="BA72" s="8">
        <f t="shared" si="76"/>
        <v>50000</v>
      </c>
      <c r="BB72" s="10" t="str">
        <f t="shared" si="77"/>
        <v>○</v>
      </c>
      <c r="BC72" s="8">
        <f t="shared" si="78"/>
        <v>125000</v>
      </c>
      <c r="BD72" s="10" t="str">
        <f t="shared" si="79"/>
        <v>○</v>
      </c>
      <c r="BE72" s="8">
        <f t="shared" si="80"/>
        <v>7500</v>
      </c>
      <c r="BF72" s="10" t="str">
        <f t="shared" si="81"/>
        <v>○</v>
      </c>
      <c r="BG72" s="8">
        <f t="shared" si="82"/>
        <v>50000</v>
      </c>
      <c r="BH72" s="10" t="str">
        <f t="shared" si="83"/>
        <v>○</v>
      </c>
      <c r="BI72" s="8">
        <f t="shared" si="84"/>
        <v>125000</v>
      </c>
      <c r="BJ72" s="1" t="s">
        <v>977</v>
      </c>
      <c r="BK72" s="1" t="s">
        <v>1102</v>
      </c>
      <c r="BL72" s="1" t="s">
        <v>977</v>
      </c>
      <c r="BM72" s="1" t="s">
        <v>977</v>
      </c>
      <c r="BN72" s="1" t="s">
        <v>977</v>
      </c>
      <c r="BO72" s="1" t="s">
        <v>1102</v>
      </c>
      <c r="BP72" s="1" t="s">
        <v>1103</v>
      </c>
      <c r="BQ72" s="1" t="s">
        <v>1103</v>
      </c>
      <c r="BR72" s="1" t="s">
        <v>1103</v>
      </c>
      <c r="BS72" s="1" t="s">
        <v>1103</v>
      </c>
      <c r="BT72" s="1" t="s">
        <v>1103</v>
      </c>
    </row>
    <row r="73" spans="1:72" x14ac:dyDescent="0.3">
      <c r="A73">
        <v>72</v>
      </c>
      <c r="B73" t="s">
        <v>712</v>
      </c>
      <c r="C73" t="s">
        <v>714</v>
      </c>
      <c r="D73" t="s">
        <v>16</v>
      </c>
      <c r="E73" t="s">
        <v>774</v>
      </c>
      <c r="F73" t="s">
        <v>939</v>
      </c>
      <c r="G73" t="s">
        <v>940</v>
      </c>
      <c r="H73">
        <v>2</v>
      </c>
      <c r="I73" s="8"/>
      <c r="J73" s="8"/>
      <c r="K73" s="39">
        <v>8.3333333333333329E-2</v>
      </c>
      <c r="L73" s="8">
        <v>2</v>
      </c>
      <c r="M73" s="8">
        <v>300000</v>
      </c>
      <c r="N73" s="8"/>
      <c r="O73" s="8"/>
      <c r="P73" s="8">
        <f t="shared" si="57"/>
        <v>50000</v>
      </c>
      <c r="Q73" s="8">
        <v>2</v>
      </c>
      <c r="R73" s="8"/>
      <c r="S73" s="8"/>
      <c r="T73" s="39">
        <v>8.3333333333333329E-2</v>
      </c>
      <c r="U73" s="8">
        <v>2</v>
      </c>
      <c r="V73" s="8">
        <v>200000</v>
      </c>
      <c r="W73" s="8"/>
      <c r="X73" s="8"/>
      <c r="Y73" s="8">
        <f t="shared" si="85"/>
        <v>33333.333333333328</v>
      </c>
      <c r="Z73" s="8">
        <v>2</v>
      </c>
      <c r="AA73" s="8"/>
      <c r="AB73" s="8"/>
      <c r="AC73" s="39">
        <v>8.3333333333333329E-2</v>
      </c>
      <c r="AD73" s="8">
        <v>2</v>
      </c>
      <c r="AE73" s="8">
        <v>800000</v>
      </c>
      <c r="AF73" s="8"/>
      <c r="AG73" s="8"/>
      <c r="AH73" s="8">
        <f t="shared" si="86"/>
        <v>133333.33333333331</v>
      </c>
      <c r="AI73" s="8">
        <f t="shared" si="58"/>
        <v>50000</v>
      </c>
      <c r="AJ73" s="10" t="str">
        <f t="shared" si="59"/>
        <v>○</v>
      </c>
      <c r="AK73" s="8">
        <f t="shared" si="60"/>
        <v>33333.333333333328</v>
      </c>
      <c r="AL73" s="10" t="str">
        <f t="shared" si="61"/>
        <v>○</v>
      </c>
      <c r="AM73" s="8">
        <f t="shared" si="62"/>
        <v>133333.33333333331</v>
      </c>
      <c r="AN73" s="10" t="str">
        <f t="shared" si="63"/>
        <v>○</v>
      </c>
      <c r="AO73" s="8">
        <f t="shared" si="64"/>
        <v>50000</v>
      </c>
      <c r="AP73" s="10" t="str">
        <f t="shared" si="65"/>
        <v>○</v>
      </c>
      <c r="AQ73" s="8">
        <f t="shared" si="66"/>
        <v>33333.333333333328</v>
      </c>
      <c r="AR73" s="10" t="str">
        <f t="shared" si="67"/>
        <v>○</v>
      </c>
      <c r="AS73" s="8">
        <f t="shared" si="68"/>
        <v>133333.33333333331</v>
      </c>
      <c r="AT73" s="10" t="str">
        <f t="shared" si="69"/>
        <v>○</v>
      </c>
      <c r="AU73" s="8">
        <f t="shared" si="70"/>
        <v>50000</v>
      </c>
      <c r="AV73" s="10" t="str">
        <f t="shared" si="71"/>
        <v>○</v>
      </c>
      <c r="AW73" s="8">
        <f t="shared" si="72"/>
        <v>33333.333333333328</v>
      </c>
      <c r="AX73" s="10" t="str">
        <f t="shared" si="73"/>
        <v>○</v>
      </c>
      <c r="AY73" s="8">
        <f t="shared" si="74"/>
        <v>133333.33333333331</v>
      </c>
      <c r="AZ73" s="10" t="str">
        <f t="shared" si="75"/>
        <v>○</v>
      </c>
      <c r="BA73" s="8" t="str">
        <f t="shared" si="76"/>
        <v/>
      </c>
      <c r="BB73" s="10" t="str">
        <f t="shared" si="77"/>
        <v>△</v>
      </c>
      <c r="BC73" s="8" t="str">
        <f t="shared" si="78"/>
        <v/>
      </c>
      <c r="BD73" s="10" t="str">
        <f t="shared" si="79"/>
        <v>△</v>
      </c>
      <c r="BE73" s="8" t="str">
        <f t="shared" si="80"/>
        <v/>
      </c>
      <c r="BF73" s="10" t="str">
        <f t="shared" si="81"/>
        <v>△</v>
      </c>
      <c r="BG73" s="8">
        <f t="shared" si="82"/>
        <v>50000</v>
      </c>
      <c r="BH73" s="10" t="str">
        <f t="shared" si="83"/>
        <v>○</v>
      </c>
      <c r="BI73" s="8">
        <f t="shared" si="84"/>
        <v>33333.333333333328</v>
      </c>
      <c r="BJ73" s="1" t="s">
        <v>977</v>
      </c>
      <c r="BK73" s="1" t="s">
        <v>1102</v>
      </c>
      <c r="BL73" s="1" t="s">
        <v>977</v>
      </c>
      <c r="BM73" s="1" t="s">
        <v>977</v>
      </c>
      <c r="BN73" s="1" t="s">
        <v>977</v>
      </c>
      <c r="BO73" s="1" t="s">
        <v>1102</v>
      </c>
      <c r="BP73" s="1" t="s">
        <v>1103</v>
      </c>
      <c r="BQ73" s="1" t="s">
        <v>1103</v>
      </c>
      <c r="BR73" s="1" t="s">
        <v>1103</v>
      </c>
      <c r="BS73" s="1" t="s">
        <v>622</v>
      </c>
      <c r="BT73" s="1" t="s">
        <v>1103</v>
      </c>
    </row>
    <row r="74" spans="1:72" x14ac:dyDescent="0.3">
      <c r="A74">
        <v>73</v>
      </c>
      <c r="B74" t="s">
        <v>712</v>
      </c>
      <c r="C74" t="s">
        <v>1079</v>
      </c>
      <c r="D74" t="s">
        <v>64</v>
      </c>
      <c r="E74" t="s">
        <v>1081</v>
      </c>
      <c r="F74" t="s">
        <v>1082</v>
      </c>
      <c r="G74" t="s">
        <v>1083</v>
      </c>
      <c r="H74">
        <v>2</v>
      </c>
      <c r="I74" s="8"/>
      <c r="J74" s="8"/>
      <c r="K74" s="39">
        <v>8.3333333333333329E-2</v>
      </c>
      <c r="L74" s="8">
        <v>2</v>
      </c>
      <c r="M74" s="8">
        <v>90000</v>
      </c>
      <c r="N74" s="8"/>
      <c r="O74" s="8"/>
      <c r="P74" s="8">
        <f t="shared" si="57"/>
        <v>15000</v>
      </c>
      <c r="Q74" s="8">
        <v>2</v>
      </c>
      <c r="R74" s="8"/>
      <c r="S74" s="8"/>
      <c r="T74" s="39">
        <v>8.3333333333333329E-2</v>
      </c>
      <c r="U74" s="8">
        <v>2</v>
      </c>
      <c r="V74" s="8">
        <v>1000000</v>
      </c>
      <c r="W74" s="8"/>
      <c r="X74" s="8"/>
      <c r="Y74" s="8">
        <f t="shared" si="85"/>
        <v>166666.66666666666</v>
      </c>
      <c r="Z74" s="8">
        <v>2</v>
      </c>
      <c r="AA74" s="8"/>
      <c r="AB74" s="8"/>
      <c r="AC74" s="39">
        <v>8.3333333333333329E-2</v>
      </c>
      <c r="AD74" s="8">
        <v>1</v>
      </c>
      <c r="AE74" s="8">
        <v>250000</v>
      </c>
      <c r="AF74" s="8"/>
      <c r="AG74" s="8"/>
      <c r="AH74" s="8">
        <f t="shared" si="86"/>
        <v>20833.333333333332</v>
      </c>
      <c r="AI74" s="8">
        <f t="shared" si="58"/>
        <v>15000</v>
      </c>
      <c r="AJ74" s="10" t="str">
        <f t="shared" si="59"/>
        <v>○</v>
      </c>
      <c r="AK74" s="8">
        <f t="shared" si="60"/>
        <v>166666.66666666666</v>
      </c>
      <c r="AL74" s="10" t="str">
        <f t="shared" si="61"/>
        <v>○</v>
      </c>
      <c r="AM74" s="8">
        <f t="shared" si="62"/>
        <v>20833.333333333332</v>
      </c>
      <c r="AN74" s="10" t="str">
        <f t="shared" si="63"/>
        <v>○</v>
      </c>
      <c r="AO74" s="8">
        <f t="shared" si="64"/>
        <v>15000</v>
      </c>
      <c r="AP74" s="10" t="str">
        <f t="shared" si="65"/>
        <v>○</v>
      </c>
      <c r="AQ74" s="8">
        <f t="shared" si="66"/>
        <v>166666.66666666666</v>
      </c>
      <c r="AR74" s="10" t="str">
        <f t="shared" si="67"/>
        <v>○</v>
      </c>
      <c r="AS74" s="8">
        <f t="shared" si="68"/>
        <v>20833.333333333332</v>
      </c>
      <c r="AT74" s="10" t="str">
        <f t="shared" si="69"/>
        <v>○</v>
      </c>
      <c r="AU74" s="8">
        <f t="shared" si="70"/>
        <v>15000</v>
      </c>
      <c r="AV74" s="10" t="str">
        <f t="shared" si="71"/>
        <v>○</v>
      </c>
      <c r="AW74" s="8">
        <f t="shared" si="72"/>
        <v>166666.66666666666</v>
      </c>
      <c r="AX74" s="10" t="str">
        <f t="shared" si="73"/>
        <v>○</v>
      </c>
      <c r="AY74" s="8">
        <f t="shared" si="74"/>
        <v>20833.333333333332</v>
      </c>
      <c r="AZ74" s="10" t="str">
        <f t="shared" si="75"/>
        <v>○</v>
      </c>
      <c r="BA74" s="8" t="str">
        <f t="shared" si="76"/>
        <v/>
      </c>
      <c r="BB74" s="10" t="str">
        <f t="shared" si="77"/>
        <v>X</v>
      </c>
      <c r="BC74" s="8" t="str">
        <f t="shared" si="78"/>
        <v/>
      </c>
      <c r="BD74" s="10" t="str">
        <f t="shared" si="79"/>
        <v>X</v>
      </c>
      <c r="BE74" s="8" t="str">
        <f t="shared" si="80"/>
        <v/>
      </c>
      <c r="BF74" s="10" t="str">
        <f t="shared" si="81"/>
        <v>X</v>
      </c>
      <c r="BG74" s="8">
        <f t="shared" si="82"/>
        <v>15000</v>
      </c>
      <c r="BH74" s="10" t="str">
        <f t="shared" si="83"/>
        <v>○</v>
      </c>
      <c r="BI74" s="8">
        <f t="shared" si="84"/>
        <v>166666.66666666666</v>
      </c>
      <c r="BJ74" s="1" t="s">
        <v>1105</v>
      </c>
      <c r="BK74" s="1" t="s">
        <v>1105</v>
      </c>
      <c r="BL74" s="1" t="s">
        <v>1104</v>
      </c>
      <c r="BM74" s="1" t="s">
        <v>1105</v>
      </c>
      <c r="BN74" s="1" t="s">
        <v>1104</v>
      </c>
      <c r="BO74" s="1" t="s">
        <v>1104</v>
      </c>
      <c r="BP74" s="1" t="s">
        <v>1103</v>
      </c>
      <c r="BQ74" s="1" t="s">
        <v>1103</v>
      </c>
      <c r="BR74" s="1" t="s">
        <v>1103</v>
      </c>
      <c r="BS74" s="1" t="s">
        <v>657</v>
      </c>
      <c r="BT74" s="1" t="s">
        <v>1103</v>
      </c>
    </row>
    <row r="75" spans="1:72" x14ac:dyDescent="0.3">
      <c r="A75">
        <v>74</v>
      </c>
      <c r="B75" t="s">
        <v>715</v>
      </c>
      <c r="C75" t="s">
        <v>716</v>
      </c>
      <c r="D75" t="s">
        <v>47</v>
      </c>
      <c r="E75" t="s">
        <v>776</v>
      </c>
      <c r="F75" t="s">
        <v>941</v>
      </c>
      <c r="G75" t="s">
        <v>942</v>
      </c>
      <c r="H75">
        <v>2</v>
      </c>
      <c r="I75" s="8">
        <v>100000</v>
      </c>
      <c r="J75" s="8">
        <v>5</v>
      </c>
      <c r="K75" s="39"/>
      <c r="L75" s="8"/>
      <c r="M75" s="8"/>
      <c r="N75" s="8"/>
      <c r="O75" s="8"/>
      <c r="P75" s="8" t="str">
        <f t="shared" si="57"/>
        <v/>
      </c>
      <c r="Q75" s="8">
        <v>1</v>
      </c>
      <c r="R75" s="8">
        <v>400000</v>
      </c>
      <c r="S75" s="8">
        <v>1</v>
      </c>
      <c r="T75" s="39"/>
      <c r="U75" s="8"/>
      <c r="V75" s="8"/>
      <c r="W75" s="8"/>
      <c r="X75" s="8"/>
      <c r="Y75" s="8">
        <f t="shared" si="85"/>
        <v>33333.333333333336</v>
      </c>
      <c r="Z75" s="8">
        <v>1</v>
      </c>
      <c r="AA75" s="8">
        <v>20000</v>
      </c>
      <c r="AB75" s="8">
        <v>1</v>
      </c>
      <c r="AC75" s="39"/>
      <c r="AD75" s="8"/>
      <c r="AE75" s="8"/>
      <c r="AF75" s="8"/>
      <c r="AG75" s="8"/>
      <c r="AH75" s="8">
        <f t="shared" si="86"/>
        <v>1666.6666666666667</v>
      </c>
      <c r="AI75" s="8" t="str">
        <f t="shared" si="58"/>
        <v/>
      </c>
      <c r="AJ75" s="10" t="str">
        <f t="shared" si="59"/>
        <v>X</v>
      </c>
      <c r="AK75" s="8" t="str">
        <f t="shared" si="60"/>
        <v/>
      </c>
      <c r="AL75" s="10" t="str">
        <f t="shared" si="61"/>
        <v>X</v>
      </c>
      <c r="AM75" s="8" t="str">
        <f t="shared" si="62"/>
        <v/>
      </c>
      <c r="AN75" s="10" t="str">
        <f t="shared" si="63"/>
        <v>X</v>
      </c>
      <c r="AO75" s="8" t="str">
        <f t="shared" si="64"/>
        <v/>
      </c>
      <c r="AP75" s="10" t="str">
        <f t="shared" si="65"/>
        <v>X</v>
      </c>
      <c r="AQ75" s="8" t="str">
        <f t="shared" si="66"/>
        <v/>
      </c>
      <c r="AR75" s="10" t="str">
        <f t="shared" si="67"/>
        <v>X</v>
      </c>
      <c r="AS75" s="8" t="str">
        <f t="shared" si="68"/>
        <v/>
      </c>
      <c r="AT75" s="10" t="str">
        <f t="shared" si="69"/>
        <v>X</v>
      </c>
      <c r="AU75" s="8" t="str">
        <f t="shared" si="70"/>
        <v/>
      </c>
      <c r="AV75" s="10" t="str">
        <f t="shared" si="71"/>
        <v>X</v>
      </c>
      <c r="AW75" s="8" t="str">
        <f t="shared" si="72"/>
        <v/>
      </c>
      <c r="AX75" s="10" t="str">
        <f t="shared" si="73"/>
        <v>X</v>
      </c>
      <c r="AY75" s="8" t="str">
        <f t="shared" si="74"/>
        <v/>
      </c>
      <c r="AZ75" s="10" t="str">
        <f t="shared" si="75"/>
        <v>X</v>
      </c>
      <c r="BA75" s="8" t="str">
        <f t="shared" si="76"/>
        <v/>
      </c>
      <c r="BB75" s="10" t="str">
        <f t="shared" si="77"/>
        <v>○</v>
      </c>
      <c r="BC75" s="8">
        <f t="shared" si="78"/>
        <v>33333.333333333336</v>
      </c>
      <c r="BD75" s="10" t="str">
        <f t="shared" si="79"/>
        <v>○</v>
      </c>
      <c r="BE75" s="8">
        <f t="shared" si="80"/>
        <v>1666.6666666666667</v>
      </c>
      <c r="BF75" s="10" t="str">
        <f t="shared" si="81"/>
        <v>○</v>
      </c>
      <c r="BG75" s="8" t="str">
        <f t="shared" si="82"/>
        <v/>
      </c>
      <c r="BH75" s="10" t="str">
        <f t="shared" si="83"/>
        <v>X</v>
      </c>
      <c r="BI75" s="8" t="str">
        <f t="shared" si="84"/>
        <v/>
      </c>
      <c r="BJ75" s="1" t="s">
        <v>977</v>
      </c>
      <c r="BK75" s="1" t="s">
        <v>1102</v>
      </c>
      <c r="BL75" s="1" t="s">
        <v>977</v>
      </c>
      <c r="BM75" s="1" t="s">
        <v>977</v>
      </c>
      <c r="BN75" s="1" t="s">
        <v>1102</v>
      </c>
      <c r="BO75" s="1" t="s">
        <v>1044</v>
      </c>
      <c r="BP75" s="1" t="s">
        <v>1101</v>
      </c>
      <c r="BQ75" s="1" t="s">
        <v>1101</v>
      </c>
      <c r="BR75" s="1" t="s">
        <v>1101</v>
      </c>
      <c r="BS75" s="1" t="s">
        <v>1103</v>
      </c>
      <c r="BT75" s="1" t="s">
        <v>1101</v>
      </c>
    </row>
    <row r="76" spans="1:72" x14ac:dyDescent="0.3">
      <c r="A76">
        <v>75</v>
      </c>
      <c r="B76" t="s">
        <v>715</v>
      </c>
      <c r="C76" t="s">
        <v>717</v>
      </c>
      <c r="D76" t="s">
        <v>104</v>
      </c>
      <c r="E76" t="s">
        <v>802</v>
      </c>
      <c r="F76" t="s">
        <v>943</v>
      </c>
      <c r="G76" t="s">
        <v>944</v>
      </c>
      <c r="H76">
        <v>2</v>
      </c>
      <c r="I76" s="8"/>
      <c r="J76" s="8"/>
      <c r="K76" s="39"/>
      <c r="L76" s="8"/>
      <c r="M76" s="8"/>
      <c r="N76" s="8"/>
      <c r="O76" s="8"/>
      <c r="P76" s="8" t="str">
        <f t="shared" si="57"/>
        <v/>
      </c>
      <c r="Q76" s="8">
        <v>1</v>
      </c>
      <c r="R76" s="8">
        <v>500000</v>
      </c>
      <c r="S76" s="8">
        <v>2</v>
      </c>
      <c r="T76" s="39"/>
      <c r="U76" s="8"/>
      <c r="V76" s="8"/>
      <c r="W76" s="8"/>
      <c r="X76" s="8"/>
      <c r="Y76" s="8">
        <f t="shared" si="85"/>
        <v>20833.333333333332</v>
      </c>
      <c r="Z76" s="8">
        <v>1</v>
      </c>
      <c r="AA76" s="8">
        <v>40000</v>
      </c>
      <c r="AB76" s="8">
        <v>2</v>
      </c>
      <c r="AC76" s="39"/>
      <c r="AD76" s="8"/>
      <c r="AE76" s="8"/>
      <c r="AF76" s="8"/>
      <c r="AG76" s="8"/>
      <c r="AH76" s="8">
        <f t="shared" si="86"/>
        <v>1666.6666666666667</v>
      </c>
      <c r="AI76" s="8" t="str">
        <f t="shared" si="58"/>
        <v/>
      </c>
      <c r="AJ76" s="10" t="str">
        <f t="shared" si="59"/>
        <v>X</v>
      </c>
      <c r="AK76" s="8" t="str">
        <f t="shared" si="60"/>
        <v/>
      </c>
      <c r="AL76" s="10" t="str">
        <f t="shared" si="61"/>
        <v>X</v>
      </c>
      <c r="AM76" s="8" t="str">
        <f t="shared" si="62"/>
        <v/>
      </c>
      <c r="AN76" s="10" t="str">
        <f t="shared" si="63"/>
        <v>X</v>
      </c>
      <c r="AO76" s="8" t="str">
        <f t="shared" si="64"/>
        <v/>
      </c>
      <c r="AP76" s="10" t="str">
        <f t="shared" si="65"/>
        <v>X</v>
      </c>
      <c r="AQ76" s="8" t="str">
        <f t="shared" si="66"/>
        <v/>
      </c>
      <c r="AR76" s="10" t="str">
        <f t="shared" si="67"/>
        <v>X</v>
      </c>
      <c r="AS76" s="8" t="str">
        <f t="shared" si="68"/>
        <v/>
      </c>
      <c r="AT76" s="10" t="str">
        <f t="shared" si="69"/>
        <v>X</v>
      </c>
      <c r="AU76" s="8" t="str">
        <f t="shared" si="70"/>
        <v/>
      </c>
      <c r="AV76" s="10" t="str">
        <f t="shared" si="71"/>
        <v>X</v>
      </c>
      <c r="AW76" s="8" t="str">
        <f t="shared" si="72"/>
        <v/>
      </c>
      <c r="AX76" s="10" t="str">
        <f t="shared" si="73"/>
        <v>X</v>
      </c>
      <c r="AY76" s="8" t="str">
        <f t="shared" si="74"/>
        <v/>
      </c>
      <c r="AZ76" s="10" t="str">
        <f t="shared" si="75"/>
        <v>X</v>
      </c>
      <c r="BA76" s="8" t="str">
        <f t="shared" si="76"/>
        <v/>
      </c>
      <c r="BB76" s="10" t="str">
        <f t="shared" si="77"/>
        <v>○</v>
      </c>
      <c r="BC76" s="8">
        <f t="shared" si="78"/>
        <v>20833.333333333332</v>
      </c>
      <c r="BD76" s="10" t="str">
        <f t="shared" si="79"/>
        <v>○</v>
      </c>
      <c r="BE76" s="8">
        <f t="shared" si="80"/>
        <v>1666.6666666666667</v>
      </c>
      <c r="BF76" s="10" t="str">
        <f t="shared" si="81"/>
        <v>○</v>
      </c>
      <c r="BG76" s="8" t="str">
        <f t="shared" si="82"/>
        <v/>
      </c>
      <c r="BH76" s="10" t="str">
        <f t="shared" si="83"/>
        <v>X</v>
      </c>
      <c r="BI76" s="8" t="str">
        <f t="shared" si="84"/>
        <v/>
      </c>
      <c r="BJ76" s="1" t="s">
        <v>977</v>
      </c>
      <c r="BK76" s="1" t="s">
        <v>1102</v>
      </c>
      <c r="BL76" s="1" t="s">
        <v>977</v>
      </c>
      <c r="BM76" s="1" t="s">
        <v>977</v>
      </c>
      <c r="BN76" s="1" t="s">
        <v>1102</v>
      </c>
      <c r="BO76" s="1" t="s">
        <v>1044</v>
      </c>
      <c r="BP76" s="1" t="s">
        <v>1101</v>
      </c>
      <c r="BQ76" s="1" t="s">
        <v>1101</v>
      </c>
      <c r="BR76" s="1" t="s">
        <v>1101</v>
      </c>
      <c r="BS76" s="1" t="s">
        <v>1103</v>
      </c>
      <c r="BT76" s="1" t="s">
        <v>1101</v>
      </c>
    </row>
    <row r="77" spans="1:72" x14ac:dyDescent="0.3">
      <c r="A77">
        <v>76</v>
      </c>
      <c r="B77" t="s">
        <v>715</v>
      </c>
      <c r="C77" t="s">
        <v>718</v>
      </c>
      <c r="D77" t="s">
        <v>47</v>
      </c>
      <c r="E77" t="s">
        <v>778</v>
      </c>
      <c r="F77" t="s">
        <v>945</v>
      </c>
      <c r="G77" t="s">
        <v>946</v>
      </c>
      <c r="H77">
        <v>1</v>
      </c>
      <c r="I77" s="8">
        <f>1000000-800000</f>
        <v>200000</v>
      </c>
      <c r="J77" s="8">
        <v>3</v>
      </c>
      <c r="K77" s="39"/>
      <c r="L77" s="8"/>
      <c r="M77" s="8"/>
      <c r="N77" s="8"/>
      <c r="O77" s="8"/>
      <c r="P77" s="8">
        <f t="shared" si="57"/>
        <v>5555.5555555555557</v>
      </c>
      <c r="Q77" s="8">
        <v>1</v>
      </c>
      <c r="R77" s="8">
        <f>1500000-500000</f>
        <v>1000000</v>
      </c>
      <c r="S77" s="8">
        <v>3</v>
      </c>
      <c r="T77" s="39"/>
      <c r="U77" s="8"/>
      <c r="V77" s="8"/>
      <c r="W77" s="8"/>
      <c r="X77" s="8"/>
      <c r="Y77" s="8">
        <f t="shared" si="85"/>
        <v>27777.777777777777</v>
      </c>
      <c r="Z77" s="8">
        <v>1</v>
      </c>
      <c r="AA77" s="8">
        <v>120000</v>
      </c>
      <c r="AB77" s="8">
        <v>0.5</v>
      </c>
      <c r="AC77" s="39"/>
      <c r="AD77" s="8"/>
      <c r="AE77" s="8"/>
      <c r="AF77" s="8"/>
      <c r="AG77" s="8"/>
      <c r="AH77" s="8">
        <f t="shared" si="86"/>
        <v>20000</v>
      </c>
      <c r="AI77" s="8" t="str">
        <f t="shared" si="58"/>
        <v/>
      </c>
      <c r="AJ77" s="10" t="str">
        <f t="shared" si="59"/>
        <v>X</v>
      </c>
      <c r="AK77" s="8" t="str">
        <f t="shared" si="60"/>
        <v/>
      </c>
      <c r="AL77" s="10" t="str">
        <f t="shared" si="61"/>
        <v>X</v>
      </c>
      <c r="AM77" s="8" t="str">
        <f t="shared" si="62"/>
        <v/>
      </c>
      <c r="AN77" s="10" t="str">
        <f t="shared" si="63"/>
        <v>X</v>
      </c>
      <c r="AO77" s="8" t="str">
        <f t="shared" si="64"/>
        <v/>
      </c>
      <c r="AP77" s="10" t="str">
        <f t="shared" si="65"/>
        <v>X</v>
      </c>
      <c r="AQ77" s="8" t="str">
        <f t="shared" si="66"/>
        <v/>
      </c>
      <c r="AR77" s="10" t="str">
        <f t="shared" si="67"/>
        <v>X</v>
      </c>
      <c r="AS77" s="8" t="str">
        <f t="shared" si="68"/>
        <v/>
      </c>
      <c r="AT77" s="10" t="str">
        <f t="shared" si="69"/>
        <v>X</v>
      </c>
      <c r="AU77" s="8" t="str">
        <f t="shared" si="70"/>
        <v/>
      </c>
      <c r="AV77" s="10" t="str">
        <f t="shared" si="71"/>
        <v>X</v>
      </c>
      <c r="AW77" s="8" t="str">
        <f t="shared" si="72"/>
        <v/>
      </c>
      <c r="AX77" s="10" t="str">
        <f t="shared" si="73"/>
        <v>X</v>
      </c>
      <c r="AY77" s="8" t="str">
        <f t="shared" si="74"/>
        <v/>
      </c>
      <c r="AZ77" s="10" t="str">
        <f t="shared" si="75"/>
        <v>X</v>
      </c>
      <c r="BA77" s="8">
        <f t="shared" si="76"/>
        <v>5555.5555555555557</v>
      </c>
      <c r="BB77" s="10" t="str">
        <f t="shared" si="77"/>
        <v>○</v>
      </c>
      <c r="BC77" s="8">
        <f t="shared" si="78"/>
        <v>27777.777777777777</v>
      </c>
      <c r="BD77" s="10" t="str">
        <f t="shared" si="79"/>
        <v>○</v>
      </c>
      <c r="BE77" s="8">
        <f t="shared" si="80"/>
        <v>20000</v>
      </c>
      <c r="BF77" s="10" t="str">
        <f t="shared" si="81"/>
        <v>○</v>
      </c>
      <c r="BG77" s="8" t="str">
        <f t="shared" si="82"/>
        <v/>
      </c>
      <c r="BH77" s="10" t="str">
        <f t="shared" si="83"/>
        <v>X</v>
      </c>
      <c r="BI77" s="8" t="str">
        <f t="shared" si="84"/>
        <v/>
      </c>
      <c r="BJ77" s="1" t="s">
        <v>977</v>
      </c>
      <c r="BK77" s="1" t="s">
        <v>1102</v>
      </c>
      <c r="BL77" s="1" t="s">
        <v>1044</v>
      </c>
      <c r="BM77" s="1" t="s">
        <v>977</v>
      </c>
      <c r="BN77" s="1" t="s">
        <v>977</v>
      </c>
      <c r="BO77" s="1" t="s">
        <v>1044</v>
      </c>
      <c r="BP77" s="1" t="s">
        <v>1101</v>
      </c>
      <c r="BQ77" s="1" t="s">
        <v>1101</v>
      </c>
      <c r="BR77" s="1" t="s">
        <v>1101</v>
      </c>
      <c r="BS77" s="1" t="s">
        <v>1103</v>
      </c>
      <c r="BT77" s="1" t="s">
        <v>1101</v>
      </c>
    </row>
    <row r="78" spans="1:72" x14ac:dyDescent="0.3">
      <c r="A78">
        <v>77</v>
      </c>
      <c r="B78" t="s">
        <v>72</v>
      </c>
      <c r="C78" t="s">
        <v>719</v>
      </c>
      <c r="D78" t="s">
        <v>149</v>
      </c>
      <c r="E78" t="s">
        <v>839</v>
      </c>
      <c r="F78" t="s">
        <v>310</v>
      </c>
      <c r="G78" t="s">
        <v>968</v>
      </c>
      <c r="H78">
        <v>2</v>
      </c>
      <c r="I78" s="8"/>
      <c r="J78" s="8"/>
      <c r="K78" s="39"/>
      <c r="L78" s="8"/>
      <c r="M78" s="8"/>
      <c r="N78" s="8"/>
      <c r="O78" s="8"/>
      <c r="P78" s="8" t="str">
        <f t="shared" si="57"/>
        <v/>
      </c>
      <c r="Q78" s="8">
        <v>2</v>
      </c>
      <c r="R78" s="8"/>
      <c r="S78" s="8"/>
      <c r="T78" s="39">
        <v>8.3333333333333329E-2</v>
      </c>
      <c r="U78" s="8">
        <v>12</v>
      </c>
      <c r="V78" s="8">
        <v>300000</v>
      </c>
      <c r="W78" s="8"/>
      <c r="X78" s="8"/>
      <c r="Y78" s="8">
        <f t="shared" si="85"/>
        <v>300000</v>
      </c>
      <c r="Z78" s="8">
        <v>2</v>
      </c>
      <c r="AA78" s="8"/>
      <c r="AB78" s="8"/>
      <c r="AC78" s="39">
        <v>8.3333333333333329E-2</v>
      </c>
      <c r="AD78" s="8">
        <v>12</v>
      </c>
      <c r="AE78" s="8">
        <v>150000</v>
      </c>
      <c r="AF78" s="8"/>
      <c r="AG78" s="8"/>
      <c r="AH78" s="8">
        <f t="shared" si="86"/>
        <v>150000</v>
      </c>
      <c r="AI78" s="8" t="str">
        <f t="shared" si="58"/>
        <v/>
      </c>
      <c r="AJ78" s="10" t="str">
        <f t="shared" si="59"/>
        <v>○</v>
      </c>
      <c r="AK78" s="8">
        <f t="shared" si="60"/>
        <v>300000</v>
      </c>
      <c r="AL78" s="10" t="str">
        <f t="shared" si="61"/>
        <v>○</v>
      </c>
      <c r="AM78" s="8">
        <f t="shared" si="62"/>
        <v>150000</v>
      </c>
      <c r="AN78" s="10" t="str">
        <f t="shared" si="63"/>
        <v>○</v>
      </c>
      <c r="AO78" s="8" t="str">
        <f t="shared" si="64"/>
        <v/>
      </c>
      <c r="AP78" s="10" t="str">
        <f t="shared" si="65"/>
        <v>○</v>
      </c>
      <c r="AQ78" s="8">
        <f t="shared" si="66"/>
        <v>300000</v>
      </c>
      <c r="AR78" s="10" t="str">
        <f t="shared" si="67"/>
        <v>○</v>
      </c>
      <c r="AS78" s="8">
        <f t="shared" si="68"/>
        <v>150000</v>
      </c>
      <c r="AT78" s="10" t="str">
        <f t="shared" si="69"/>
        <v>○</v>
      </c>
      <c r="AU78" s="8" t="str">
        <f t="shared" si="70"/>
        <v/>
      </c>
      <c r="AV78" s="10" t="str">
        <f t="shared" si="71"/>
        <v>○</v>
      </c>
      <c r="AW78" s="8">
        <f t="shared" si="72"/>
        <v>300000</v>
      </c>
      <c r="AX78" s="10" t="str">
        <f t="shared" si="73"/>
        <v>○</v>
      </c>
      <c r="AY78" s="8">
        <f t="shared" si="74"/>
        <v>150000</v>
      </c>
      <c r="AZ78" s="10" t="str">
        <f t="shared" si="75"/>
        <v>○</v>
      </c>
      <c r="BA78" s="8" t="str">
        <f t="shared" si="76"/>
        <v/>
      </c>
      <c r="BB78" s="10" t="str">
        <f t="shared" si="77"/>
        <v>○</v>
      </c>
      <c r="BC78" s="8">
        <f t="shared" si="78"/>
        <v>300000</v>
      </c>
      <c r="BD78" s="10" t="str">
        <f t="shared" si="79"/>
        <v>○</v>
      </c>
      <c r="BE78" s="8">
        <f t="shared" si="80"/>
        <v>150000</v>
      </c>
      <c r="BF78" s="10" t="str">
        <f t="shared" si="81"/>
        <v>○</v>
      </c>
      <c r="BG78" s="8" t="str">
        <f t="shared" si="82"/>
        <v/>
      </c>
      <c r="BH78" s="10" t="str">
        <f t="shared" si="83"/>
        <v>○</v>
      </c>
      <c r="BI78" s="8">
        <f t="shared" si="84"/>
        <v>300000</v>
      </c>
      <c r="BJ78" s="1" t="s">
        <v>977</v>
      </c>
      <c r="BK78" s="1" t="s">
        <v>1102</v>
      </c>
      <c r="BL78" s="1" t="s">
        <v>1102</v>
      </c>
      <c r="BM78" s="1" t="s">
        <v>1102</v>
      </c>
      <c r="BN78" s="1" t="s">
        <v>1102</v>
      </c>
      <c r="BO78" s="1" t="s">
        <v>1102</v>
      </c>
      <c r="BP78" s="1" t="s">
        <v>1103</v>
      </c>
      <c r="BQ78" s="1" t="s">
        <v>1103</v>
      </c>
      <c r="BR78" s="1" t="s">
        <v>1103</v>
      </c>
      <c r="BS78" s="1" t="s">
        <v>1103</v>
      </c>
      <c r="BT78" s="1" t="s">
        <v>1103</v>
      </c>
    </row>
    <row r="79" spans="1:72" x14ac:dyDescent="0.3">
      <c r="A79">
        <v>78</v>
      </c>
      <c r="B79" t="s">
        <v>72</v>
      </c>
      <c r="C79" t="s">
        <v>721</v>
      </c>
      <c r="D79" t="s">
        <v>178</v>
      </c>
      <c r="E79" t="s">
        <v>780</v>
      </c>
      <c r="F79" t="s">
        <v>424</v>
      </c>
      <c r="G79" t="s">
        <v>540</v>
      </c>
      <c r="H79">
        <v>2</v>
      </c>
      <c r="I79" s="8"/>
      <c r="J79" s="8"/>
      <c r="K79" s="39"/>
      <c r="L79" s="8"/>
      <c r="M79" s="8"/>
      <c r="N79" s="8"/>
      <c r="O79" s="8"/>
      <c r="P79" s="8" t="str">
        <f t="shared" si="57"/>
        <v/>
      </c>
      <c r="Q79" s="8">
        <v>2</v>
      </c>
      <c r="R79" s="8"/>
      <c r="S79" s="8"/>
      <c r="T79" s="39"/>
      <c r="U79" s="8"/>
      <c r="V79" s="8"/>
      <c r="W79" s="8"/>
      <c r="X79" s="8"/>
      <c r="Y79" s="8" t="str">
        <f t="shared" si="85"/>
        <v/>
      </c>
      <c r="Z79" s="8">
        <v>2</v>
      </c>
      <c r="AA79" s="8"/>
      <c r="AB79" s="8"/>
      <c r="AC79" s="39">
        <v>8.3333333333333329E-2</v>
      </c>
      <c r="AD79" s="8">
        <v>24</v>
      </c>
      <c r="AE79" s="8">
        <v>10000</v>
      </c>
      <c r="AF79" s="8"/>
      <c r="AG79" s="8"/>
      <c r="AH79" s="8">
        <f t="shared" si="86"/>
        <v>20000</v>
      </c>
      <c r="AI79" s="8" t="str">
        <f t="shared" si="58"/>
        <v/>
      </c>
      <c r="AJ79" s="10" t="str">
        <f t="shared" si="59"/>
        <v>○</v>
      </c>
      <c r="AK79" s="8" t="str">
        <f t="shared" si="60"/>
        <v/>
      </c>
      <c r="AL79" s="10" t="str">
        <f t="shared" si="61"/>
        <v>○</v>
      </c>
      <c r="AM79" s="8">
        <f t="shared" si="62"/>
        <v>20000</v>
      </c>
      <c r="AN79" s="10" t="str">
        <f t="shared" si="63"/>
        <v>○</v>
      </c>
      <c r="AO79" s="8" t="str">
        <f t="shared" si="64"/>
        <v/>
      </c>
      <c r="AP79" s="10" t="str">
        <f t="shared" si="65"/>
        <v>○</v>
      </c>
      <c r="AQ79" s="8" t="str">
        <f t="shared" si="66"/>
        <v/>
      </c>
      <c r="AR79" s="10" t="str">
        <f t="shared" si="67"/>
        <v>○</v>
      </c>
      <c r="AS79" s="8">
        <f t="shared" si="68"/>
        <v>20000</v>
      </c>
      <c r="AT79" s="10" t="str">
        <f t="shared" si="69"/>
        <v>○</v>
      </c>
      <c r="AU79" s="8" t="str">
        <f t="shared" si="70"/>
        <v/>
      </c>
      <c r="AV79" s="10" t="str">
        <f t="shared" si="71"/>
        <v>○</v>
      </c>
      <c r="AW79" s="8" t="str">
        <f t="shared" si="72"/>
        <v/>
      </c>
      <c r="AX79" s="10" t="str">
        <f t="shared" si="73"/>
        <v>○</v>
      </c>
      <c r="AY79" s="8">
        <f t="shared" si="74"/>
        <v>20000</v>
      </c>
      <c r="AZ79" s="10" t="str">
        <f t="shared" si="75"/>
        <v>○</v>
      </c>
      <c r="BA79" s="8" t="str">
        <f t="shared" si="76"/>
        <v/>
      </c>
      <c r="BB79" s="10" t="str">
        <f t="shared" si="77"/>
        <v>○</v>
      </c>
      <c r="BC79" s="8" t="str">
        <f t="shared" si="78"/>
        <v/>
      </c>
      <c r="BD79" s="10" t="str">
        <f t="shared" si="79"/>
        <v>○</v>
      </c>
      <c r="BE79" s="8">
        <f t="shared" si="80"/>
        <v>20000</v>
      </c>
      <c r="BF79" s="10" t="str">
        <f t="shared" si="81"/>
        <v>○</v>
      </c>
      <c r="BG79" s="8" t="str">
        <f t="shared" si="82"/>
        <v/>
      </c>
      <c r="BH79" s="10" t="str">
        <f t="shared" si="83"/>
        <v>○</v>
      </c>
      <c r="BI79" s="8" t="str">
        <f t="shared" si="84"/>
        <v/>
      </c>
      <c r="BJ79" s="1" t="s">
        <v>977</v>
      </c>
      <c r="BK79" s="1" t="s">
        <v>1102</v>
      </c>
      <c r="BL79" s="1" t="s">
        <v>977</v>
      </c>
      <c r="BM79" s="1" t="s">
        <v>1102</v>
      </c>
      <c r="BN79" s="1" t="s">
        <v>1102</v>
      </c>
      <c r="BO79" s="1" t="s">
        <v>1102</v>
      </c>
      <c r="BP79" s="1" t="s">
        <v>1103</v>
      </c>
      <c r="BQ79" s="1" t="s">
        <v>1103</v>
      </c>
      <c r="BR79" s="1" t="s">
        <v>1103</v>
      </c>
      <c r="BS79" s="1" t="s">
        <v>1103</v>
      </c>
      <c r="BT79" s="1" t="s">
        <v>1103</v>
      </c>
    </row>
    <row r="80" spans="1:72" x14ac:dyDescent="0.3">
      <c r="A80">
        <v>79</v>
      </c>
      <c r="B80" t="s">
        <v>72</v>
      </c>
      <c r="C80" t="s">
        <v>723</v>
      </c>
      <c r="D80" t="s">
        <v>74</v>
      </c>
      <c r="E80" t="s">
        <v>725</v>
      </c>
      <c r="F80" t="s">
        <v>963</v>
      </c>
      <c r="G80" t="s">
        <v>543</v>
      </c>
      <c r="H80">
        <v>2</v>
      </c>
      <c r="I80" s="8"/>
      <c r="J80" s="8"/>
      <c r="K80" s="39"/>
      <c r="L80" s="8"/>
      <c r="M80" s="8"/>
      <c r="N80" s="8"/>
      <c r="O80" s="8"/>
      <c r="P80" s="8" t="str">
        <f t="shared" si="57"/>
        <v/>
      </c>
      <c r="Q80" s="8">
        <v>2</v>
      </c>
      <c r="R80" s="8"/>
      <c r="S80" s="8"/>
      <c r="T80" s="39"/>
      <c r="U80" s="8"/>
      <c r="V80" s="8"/>
      <c r="W80" s="8"/>
      <c r="X80" s="8"/>
      <c r="Y80" s="8" t="str">
        <f t="shared" si="85"/>
        <v/>
      </c>
      <c r="Z80" s="8">
        <v>2</v>
      </c>
      <c r="AA80" s="8"/>
      <c r="AB80" s="8"/>
      <c r="AC80" s="39"/>
      <c r="AD80" s="8"/>
      <c r="AE80" s="8"/>
      <c r="AF80" s="8"/>
      <c r="AG80" s="8"/>
      <c r="AH80" s="8" t="str">
        <f t="shared" si="86"/>
        <v/>
      </c>
      <c r="AI80" s="8" t="str">
        <f t="shared" si="58"/>
        <v/>
      </c>
      <c r="AJ80" s="10" t="str">
        <f t="shared" si="59"/>
        <v>○</v>
      </c>
      <c r="AK80" s="8" t="str">
        <f t="shared" si="60"/>
        <v/>
      </c>
      <c r="AL80" s="10" t="str">
        <f t="shared" si="61"/>
        <v>○</v>
      </c>
      <c r="AM80" s="8" t="str">
        <f t="shared" si="62"/>
        <v/>
      </c>
      <c r="AN80" s="10" t="str">
        <f t="shared" si="63"/>
        <v>○</v>
      </c>
      <c r="AO80" s="8" t="str">
        <f t="shared" si="64"/>
        <v/>
      </c>
      <c r="AP80" s="10" t="str">
        <f t="shared" si="65"/>
        <v>○</v>
      </c>
      <c r="AQ80" s="8" t="str">
        <f t="shared" si="66"/>
        <v/>
      </c>
      <c r="AR80" s="10" t="str">
        <f t="shared" si="67"/>
        <v>○</v>
      </c>
      <c r="AS80" s="8" t="str">
        <f t="shared" si="68"/>
        <v/>
      </c>
      <c r="AT80" s="10" t="str">
        <f t="shared" si="69"/>
        <v>○</v>
      </c>
      <c r="AU80" s="8" t="str">
        <f t="shared" si="70"/>
        <v/>
      </c>
      <c r="AV80" s="10" t="str">
        <f t="shared" si="71"/>
        <v>○</v>
      </c>
      <c r="AW80" s="8" t="str">
        <f t="shared" si="72"/>
        <v/>
      </c>
      <c r="AX80" s="10" t="str">
        <f t="shared" si="73"/>
        <v>○</v>
      </c>
      <c r="AY80" s="8" t="str">
        <f t="shared" si="74"/>
        <v/>
      </c>
      <c r="AZ80" s="10" t="str">
        <f t="shared" si="75"/>
        <v>○</v>
      </c>
      <c r="BA80" s="8" t="str">
        <f t="shared" si="76"/>
        <v/>
      </c>
      <c r="BB80" s="10" t="str">
        <f t="shared" si="77"/>
        <v>○</v>
      </c>
      <c r="BC80" s="8" t="str">
        <f t="shared" si="78"/>
        <v/>
      </c>
      <c r="BD80" s="10" t="str">
        <f t="shared" si="79"/>
        <v>○</v>
      </c>
      <c r="BE80" s="8" t="str">
        <f t="shared" si="80"/>
        <v/>
      </c>
      <c r="BF80" s="10" t="str">
        <f t="shared" si="81"/>
        <v>○</v>
      </c>
      <c r="BG80" s="8" t="str">
        <f t="shared" si="82"/>
        <v/>
      </c>
      <c r="BH80" s="10" t="str">
        <f t="shared" si="83"/>
        <v>○</v>
      </c>
      <c r="BI80" s="8" t="str">
        <f t="shared" si="84"/>
        <v/>
      </c>
      <c r="BJ80" s="1" t="s">
        <v>977</v>
      </c>
      <c r="BK80" s="1" t="s">
        <v>1102</v>
      </c>
      <c r="BL80" s="1" t="s">
        <v>1102</v>
      </c>
      <c r="BM80" s="1" t="s">
        <v>977</v>
      </c>
      <c r="BN80" s="1" t="s">
        <v>1102</v>
      </c>
      <c r="BO80" s="1" t="s">
        <v>1102</v>
      </c>
      <c r="BP80" s="1" t="s">
        <v>1103</v>
      </c>
      <c r="BQ80" s="1" t="s">
        <v>1103</v>
      </c>
      <c r="BR80" s="1" t="s">
        <v>1103</v>
      </c>
      <c r="BS80" s="1" t="s">
        <v>1103</v>
      </c>
      <c r="BT80" s="1" t="s">
        <v>1103</v>
      </c>
    </row>
    <row r="81" spans="1:72" x14ac:dyDescent="0.3">
      <c r="A81">
        <v>80</v>
      </c>
      <c r="B81" t="s">
        <v>72</v>
      </c>
      <c r="C81" t="s">
        <v>726</v>
      </c>
      <c r="D81" t="s">
        <v>63</v>
      </c>
      <c r="E81" t="s">
        <v>803</v>
      </c>
      <c r="F81" t="s">
        <v>947</v>
      </c>
      <c r="G81" t="s">
        <v>948</v>
      </c>
      <c r="H81">
        <v>2</v>
      </c>
      <c r="I81" s="8"/>
      <c r="J81" s="8"/>
      <c r="K81" s="39">
        <v>8.3333333333333329E-2</v>
      </c>
      <c r="L81" s="8">
        <v>12</v>
      </c>
      <c r="M81" s="8">
        <v>100000</v>
      </c>
      <c r="N81" s="8"/>
      <c r="O81" s="8"/>
      <c r="P81" s="8">
        <f t="shared" si="57"/>
        <v>100000</v>
      </c>
      <c r="Q81" s="8">
        <v>2</v>
      </c>
      <c r="R81" s="8"/>
      <c r="S81" s="8"/>
      <c r="T81" s="39">
        <v>8.3333333333333329E-2</v>
      </c>
      <c r="U81" s="8">
        <v>12</v>
      </c>
      <c r="V81" s="8">
        <v>250000</v>
      </c>
      <c r="W81" s="8"/>
      <c r="X81" s="8"/>
      <c r="Y81" s="8">
        <f t="shared" si="85"/>
        <v>250000</v>
      </c>
      <c r="Z81" s="8">
        <v>2</v>
      </c>
      <c r="AA81" s="8"/>
      <c r="AB81" s="8"/>
      <c r="AC81" s="39">
        <v>8.3333333333333329E-2</v>
      </c>
      <c r="AD81" s="8">
        <v>1</v>
      </c>
      <c r="AE81" s="8">
        <v>500000</v>
      </c>
      <c r="AF81" s="8"/>
      <c r="AG81" s="8"/>
      <c r="AH81" s="8">
        <f t="shared" si="86"/>
        <v>41666.666666666664</v>
      </c>
      <c r="AI81" s="8">
        <f t="shared" si="58"/>
        <v>100000</v>
      </c>
      <c r="AJ81" s="10" t="str">
        <f t="shared" si="59"/>
        <v>○</v>
      </c>
      <c r="AK81" s="8">
        <f t="shared" si="60"/>
        <v>250000</v>
      </c>
      <c r="AL81" s="10" t="str">
        <f t="shared" si="61"/>
        <v>○</v>
      </c>
      <c r="AM81" s="8">
        <f t="shared" si="62"/>
        <v>41666.666666666664</v>
      </c>
      <c r="AN81" s="10" t="str">
        <f t="shared" si="63"/>
        <v>○</v>
      </c>
      <c r="AO81" s="8">
        <f t="shared" si="64"/>
        <v>100000</v>
      </c>
      <c r="AP81" s="10" t="str">
        <f t="shared" si="65"/>
        <v>○</v>
      </c>
      <c r="AQ81" s="8">
        <f t="shared" si="66"/>
        <v>250000</v>
      </c>
      <c r="AR81" s="10" t="str">
        <f t="shared" si="67"/>
        <v>○</v>
      </c>
      <c r="AS81" s="8">
        <f t="shared" si="68"/>
        <v>41666.666666666664</v>
      </c>
      <c r="AT81" s="10" t="str">
        <f t="shared" si="69"/>
        <v>○</v>
      </c>
      <c r="AU81" s="8">
        <f t="shared" si="70"/>
        <v>100000</v>
      </c>
      <c r="AV81" s="10" t="str">
        <f t="shared" si="71"/>
        <v>○</v>
      </c>
      <c r="AW81" s="8">
        <f t="shared" si="72"/>
        <v>250000</v>
      </c>
      <c r="AX81" s="10" t="str">
        <f t="shared" si="73"/>
        <v>○</v>
      </c>
      <c r="AY81" s="8">
        <f t="shared" si="74"/>
        <v>41666.666666666664</v>
      </c>
      <c r="AZ81" s="10" t="str">
        <f t="shared" si="75"/>
        <v>○</v>
      </c>
      <c r="BA81" s="8">
        <f t="shared" si="76"/>
        <v>100000</v>
      </c>
      <c r="BB81" s="10" t="str">
        <f t="shared" si="77"/>
        <v>○</v>
      </c>
      <c r="BC81" s="8">
        <f t="shared" si="78"/>
        <v>250000</v>
      </c>
      <c r="BD81" s="10" t="str">
        <f t="shared" si="79"/>
        <v>○</v>
      </c>
      <c r="BE81" s="8">
        <f t="shared" si="80"/>
        <v>41666.666666666664</v>
      </c>
      <c r="BF81" s="10" t="str">
        <f t="shared" si="81"/>
        <v>○</v>
      </c>
      <c r="BG81" s="8">
        <f t="shared" si="82"/>
        <v>100000</v>
      </c>
      <c r="BH81" s="10" t="str">
        <f t="shared" si="83"/>
        <v>○</v>
      </c>
      <c r="BI81" s="8">
        <f t="shared" si="84"/>
        <v>250000</v>
      </c>
      <c r="BJ81" s="1" t="s">
        <v>977</v>
      </c>
      <c r="BK81" s="1" t="s">
        <v>1102</v>
      </c>
      <c r="BL81" s="1" t="s">
        <v>977</v>
      </c>
      <c r="BM81" s="1" t="s">
        <v>977</v>
      </c>
      <c r="BN81" s="1" t="s">
        <v>1102</v>
      </c>
      <c r="BO81" s="1" t="s">
        <v>1102</v>
      </c>
      <c r="BP81" s="1" t="s">
        <v>1103</v>
      </c>
      <c r="BQ81" s="1" t="s">
        <v>1103</v>
      </c>
      <c r="BR81" s="1" t="s">
        <v>1103</v>
      </c>
      <c r="BS81" s="1" t="s">
        <v>1103</v>
      </c>
      <c r="BT81" s="1" t="s">
        <v>1103</v>
      </c>
    </row>
    <row r="82" spans="1:72" x14ac:dyDescent="0.3">
      <c r="A82">
        <v>81</v>
      </c>
      <c r="B82" t="s">
        <v>72</v>
      </c>
      <c r="C82" t="s">
        <v>782</v>
      </c>
      <c r="D82" t="s">
        <v>16</v>
      </c>
      <c r="E82" t="s">
        <v>804</v>
      </c>
      <c r="F82" t="s">
        <v>949</v>
      </c>
      <c r="G82" t="s">
        <v>950</v>
      </c>
      <c r="H82">
        <v>2</v>
      </c>
      <c r="I82" s="8"/>
      <c r="J82" s="8"/>
      <c r="K82" s="39">
        <v>8.3333333333333329E-2</v>
      </c>
      <c r="L82" s="8">
        <v>12</v>
      </c>
      <c r="M82" s="8">
        <v>0</v>
      </c>
      <c r="N82" s="8"/>
      <c r="O82" s="8"/>
      <c r="P82" s="8">
        <f t="shared" si="57"/>
        <v>0</v>
      </c>
      <c r="Q82" s="8">
        <v>2</v>
      </c>
      <c r="R82" s="8"/>
      <c r="S82" s="8"/>
      <c r="T82" s="39">
        <v>8.3333333333333329E-2</v>
      </c>
      <c r="U82" s="8">
        <v>12</v>
      </c>
      <c r="V82" s="8">
        <v>100000</v>
      </c>
      <c r="W82" s="8"/>
      <c r="X82" s="8"/>
      <c r="Y82" s="8">
        <f t="shared" si="85"/>
        <v>100000</v>
      </c>
      <c r="Z82" s="8">
        <v>2</v>
      </c>
      <c r="AA82" s="8"/>
      <c r="AB82" s="8"/>
      <c r="AC82" s="39"/>
      <c r="AD82" s="8"/>
      <c r="AE82" s="8"/>
      <c r="AF82" s="8"/>
      <c r="AG82" s="8"/>
      <c r="AH82" s="8" t="str">
        <f t="shared" si="86"/>
        <v/>
      </c>
      <c r="AI82" s="8">
        <f t="shared" si="58"/>
        <v>0</v>
      </c>
      <c r="AJ82" s="10" t="str">
        <f t="shared" si="59"/>
        <v>○</v>
      </c>
      <c r="AK82" s="8">
        <f t="shared" si="60"/>
        <v>100000</v>
      </c>
      <c r="AL82" s="10" t="str">
        <f t="shared" si="61"/>
        <v>○</v>
      </c>
      <c r="AM82" s="8" t="str">
        <f t="shared" si="62"/>
        <v/>
      </c>
      <c r="AN82" s="10" t="str">
        <f t="shared" si="63"/>
        <v>○</v>
      </c>
      <c r="AO82" s="8">
        <f t="shared" si="64"/>
        <v>0</v>
      </c>
      <c r="AP82" s="10" t="str">
        <f t="shared" si="65"/>
        <v>○</v>
      </c>
      <c r="AQ82" s="8">
        <f t="shared" si="66"/>
        <v>100000</v>
      </c>
      <c r="AR82" s="10" t="str">
        <f t="shared" si="67"/>
        <v>○</v>
      </c>
      <c r="AS82" s="8" t="str">
        <f t="shared" si="68"/>
        <v/>
      </c>
      <c r="AT82" s="10" t="str">
        <f t="shared" si="69"/>
        <v>○</v>
      </c>
      <c r="AU82" s="8">
        <f t="shared" si="70"/>
        <v>0</v>
      </c>
      <c r="AV82" s="10" t="str">
        <f t="shared" si="71"/>
        <v>○</v>
      </c>
      <c r="AW82" s="8">
        <f t="shared" si="72"/>
        <v>100000</v>
      </c>
      <c r="AX82" s="10" t="str">
        <f t="shared" si="73"/>
        <v>○</v>
      </c>
      <c r="AY82" s="8" t="str">
        <f t="shared" si="74"/>
        <v/>
      </c>
      <c r="AZ82" s="10" t="str">
        <f t="shared" si="75"/>
        <v>○</v>
      </c>
      <c r="BA82" s="8">
        <f t="shared" si="76"/>
        <v>0</v>
      </c>
      <c r="BB82" s="10" t="str">
        <f t="shared" si="77"/>
        <v>○</v>
      </c>
      <c r="BC82" s="8">
        <f t="shared" si="78"/>
        <v>100000</v>
      </c>
      <c r="BD82" s="10" t="str">
        <f t="shared" si="79"/>
        <v>○</v>
      </c>
      <c r="BE82" s="8" t="str">
        <f t="shared" si="80"/>
        <v/>
      </c>
      <c r="BF82" s="10" t="str">
        <f t="shared" si="81"/>
        <v>○</v>
      </c>
      <c r="BG82" s="8">
        <f t="shared" si="82"/>
        <v>0</v>
      </c>
      <c r="BH82" s="10" t="str">
        <f t="shared" si="83"/>
        <v>○</v>
      </c>
      <c r="BI82" s="8">
        <f t="shared" si="84"/>
        <v>100000</v>
      </c>
      <c r="BJ82" s="1" t="s">
        <v>977</v>
      </c>
      <c r="BK82" s="1" t="s">
        <v>1102</v>
      </c>
      <c r="BL82" s="1" t="s">
        <v>1102</v>
      </c>
      <c r="BM82" s="1" t="s">
        <v>977</v>
      </c>
      <c r="BN82" s="1" t="s">
        <v>1102</v>
      </c>
      <c r="BO82" s="1" t="s">
        <v>1102</v>
      </c>
      <c r="BP82" s="1" t="s">
        <v>1103</v>
      </c>
      <c r="BQ82" s="1" t="s">
        <v>1103</v>
      </c>
      <c r="BR82" s="1" t="s">
        <v>1103</v>
      </c>
      <c r="BS82" s="1" t="s">
        <v>1103</v>
      </c>
      <c r="BT82" s="1" t="s">
        <v>1103</v>
      </c>
    </row>
    <row r="83" spans="1:72" x14ac:dyDescent="0.3">
      <c r="A83">
        <v>82</v>
      </c>
      <c r="B83" t="s">
        <v>72</v>
      </c>
      <c r="C83" t="s">
        <v>727</v>
      </c>
      <c r="D83" t="s">
        <v>178</v>
      </c>
      <c r="E83" t="s">
        <v>729</v>
      </c>
      <c r="F83" t="s">
        <v>951</v>
      </c>
      <c r="G83" t="s">
        <v>952</v>
      </c>
      <c r="H83">
        <v>2</v>
      </c>
      <c r="I83" s="8"/>
      <c r="J83" s="8"/>
      <c r="K83" s="39">
        <v>8.3333333333333329E-2</v>
      </c>
      <c r="L83" s="8">
        <v>12</v>
      </c>
      <c r="M83" s="8">
        <v>0</v>
      </c>
      <c r="N83" s="8"/>
      <c r="O83" s="8"/>
      <c r="P83" s="8">
        <f t="shared" si="57"/>
        <v>0</v>
      </c>
      <c r="Q83" s="8">
        <v>2</v>
      </c>
      <c r="R83" s="8"/>
      <c r="S83" s="8"/>
      <c r="T83" s="39"/>
      <c r="U83" s="8"/>
      <c r="V83" s="8"/>
      <c r="W83" s="8"/>
      <c r="X83" s="8"/>
      <c r="Y83" s="8" t="str">
        <f t="shared" si="85"/>
        <v/>
      </c>
      <c r="Z83" s="8">
        <v>2</v>
      </c>
      <c r="AA83" s="8"/>
      <c r="AB83" s="8"/>
      <c r="AC83" s="39"/>
      <c r="AD83" s="8"/>
      <c r="AE83" s="8"/>
      <c r="AF83" s="8"/>
      <c r="AG83" s="8"/>
      <c r="AH83" s="8" t="str">
        <f t="shared" si="86"/>
        <v/>
      </c>
      <c r="AI83" s="8">
        <f t="shared" si="58"/>
        <v>0</v>
      </c>
      <c r="AJ83" s="10" t="str">
        <f t="shared" si="59"/>
        <v>○</v>
      </c>
      <c r="AK83" s="8" t="str">
        <f t="shared" si="60"/>
        <v/>
      </c>
      <c r="AL83" s="10" t="str">
        <f t="shared" si="61"/>
        <v>○</v>
      </c>
      <c r="AM83" s="8" t="str">
        <f t="shared" si="62"/>
        <v/>
      </c>
      <c r="AN83" s="10" t="str">
        <f t="shared" si="63"/>
        <v>○</v>
      </c>
      <c r="AO83" s="8">
        <f t="shared" si="64"/>
        <v>0</v>
      </c>
      <c r="AP83" s="10" t="str">
        <f t="shared" si="65"/>
        <v>○</v>
      </c>
      <c r="AQ83" s="8" t="str">
        <f t="shared" si="66"/>
        <v/>
      </c>
      <c r="AR83" s="10" t="str">
        <f t="shared" si="67"/>
        <v>○</v>
      </c>
      <c r="AS83" s="8" t="str">
        <f t="shared" si="68"/>
        <v/>
      </c>
      <c r="AT83" s="10" t="str">
        <f t="shared" si="69"/>
        <v>○</v>
      </c>
      <c r="AU83" s="8">
        <f t="shared" si="70"/>
        <v>0</v>
      </c>
      <c r="AV83" s="10" t="str">
        <f t="shared" si="71"/>
        <v>○</v>
      </c>
      <c r="AW83" s="8" t="str">
        <f t="shared" si="72"/>
        <v/>
      </c>
      <c r="AX83" s="10" t="str">
        <f t="shared" si="73"/>
        <v>○</v>
      </c>
      <c r="AY83" s="8" t="str">
        <f t="shared" si="74"/>
        <v/>
      </c>
      <c r="AZ83" s="10" t="str">
        <f t="shared" si="75"/>
        <v>○</v>
      </c>
      <c r="BA83" s="8">
        <f t="shared" si="76"/>
        <v>0</v>
      </c>
      <c r="BB83" s="10" t="str">
        <f t="shared" si="77"/>
        <v>○</v>
      </c>
      <c r="BC83" s="8" t="str">
        <f t="shared" si="78"/>
        <v/>
      </c>
      <c r="BD83" s="10" t="str">
        <f t="shared" si="79"/>
        <v>○</v>
      </c>
      <c r="BE83" s="8" t="str">
        <f t="shared" si="80"/>
        <v/>
      </c>
      <c r="BF83" s="10" t="str">
        <f t="shared" si="81"/>
        <v>○</v>
      </c>
      <c r="BG83" s="8">
        <f t="shared" si="82"/>
        <v>0</v>
      </c>
      <c r="BH83" s="10" t="str">
        <f t="shared" si="83"/>
        <v>○</v>
      </c>
      <c r="BI83" s="8" t="str">
        <f t="shared" si="84"/>
        <v/>
      </c>
      <c r="BJ83" s="1" t="s">
        <v>977</v>
      </c>
      <c r="BK83" s="1" t="s">
        <v>1102</v>
      </c>
      <c r="BL83" s="1" t="s">
        <v>1102</v>
      </c>
      <c r="BM83" s="1" t="s">
        <v>1102</v>
      </c>
      <c r="BN83" s="1" t="s">
        <v>1102</v>
      </c>
      <c r="BO83" s="1" t="s">
        <v>1102</v>
      </c>
      <c r="BP83" s="1" t="s">
        <v>1103</v>
      </c>
      <c r="BQ83" s="1" t="s">
        <v>1103</v>
      </c>
      <c r="BR83" s="1" t="s">
        <v>1103</v>
      </c>
      <c r="BS83" s="1" t="s">
        <v>1103</v>
      </c>
      <c r="BT83" s="1" t="s">
        <v>1103</v>
      </c>
    </row>
    <row r="84" spans="1:72" x14ac:dyDescent="0.3">
      <c r="P84" s="8">
        <f>SUM(P2:P83)</f>
        <v>1608500.3968253969</v>
      </c>
      <c r="Q84" s="8"/>
      <c r="Y84" s="8">
        <f>SUM(Y2:Y83)</f>
        <v>5635102.7777777771</v>
      </c>
      <c r="Z84" s="8"/>
      <c r="AH84" s="8">
        <f>SUM(AH2:AH83)</f>
        <v>2359744.6944444436</v>
      </c>
    </row>
  </sheetData>
  <autoFilter ref="A1:BT84" xr:uid="{B7A15702-2484-49F6-84F4-87469717A98A}"/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A7A2-250E-4EEE-BCD2-374CF3557442}">
  <dimension ref="A1:R102"/>
  <sheetViews>
    <sheetView workbookViewId="0">
      <selection activeCell="M2" sqref="M2"/>
    </sheetView>
  </sheetViews>
  <sheetFormatPr defaultRowHeight="16.5" x14ac:dyDescent="0.3"/>
  <sheetData>
    <row r="1" spans="1:18" ht="26.25" thickBot="1" x14ac:dyDescent="0.25">
      <c r="A1" s="30" t="s">
        <v>822</v>
      </c>
      <c r="B1" s="30" t="s">
        <v>889</v>
      </c>
      <c r="C1" s="30" t="s">
        <v>890</v>
      </c>
      <c r="D1" s="30" t="s">
        <v>891</v>
      </c>
      <c r="M1" s="41" t="s">
        <v>1175</v>
      </c>
      <c r="N1" s="41" t="s">
        <v>1176</v>
      </c>
      <c r="O1" s="41" t="s">
        <v>1177</v>
      </c>
      <c r="P1" s="41" t="s">
        <v>1178</v>
      </c>
      <c r="Q1" s="41" t="s">
        <v>1179</v>
      </c>
      <c r="R1" s="41" t="s">
        <v>1180</v>
      </c>
    </row>
    <row r="2" spans="1:18" ht="51.75" thickBot="1" x14ac:dyDescent="0.25">
      <c r="A2" t="s">
        <v>20</v>
      </c>
      <c r="B2" t="s">
        <v>732</v>
      </c>
      <c r="C2" t="s">
        <v>267</v>
      </c>
      <c r="D2" t="s">
        <v>435</v>
      </c>
      <c r="M2" s="41" t="s">
        <v>1181</v>
      </c>
      <c r="N2" s="41" t="s">
        <v>732</v>
      </c>
      <c r="O2" s="41" t="s">
        <v>1182</v>
      </c>
      <c r="P2" s="41" t="s">
        <v>267</v>
      </c>
      <c r="Q2" s="41" t="s">
        <v>1183</v>
      </c>
      <c r="R2" s="42" t="s">
        <v>435</v>
      </c>
    </row>
    <row r="3" spans="1:18" ht="66.75" thickBot="1" x14ac:dyDescent="0.4">
      <c r="A3" t="s">
        <v>25</v>
      </c>
      <c r="B3" t="s">
        <v>1049</v>
      </c>
      <c r="C3" t="s">
        <v>955</v>
      </c>
      <c r="D3" t="s">
        <v>1050</v>
      </c>
      <c r="M3" s="43" t="s">
        <v>37</v>
      </c>
      <c r="N3" s="41" t="s">
        <v>1185</v>
      </c>
      <c r="O3" s="41" t="s">
        <v>1186</v>
      </c>
      <c r="P3" s="41" t="s">
        <v>1187</v>
      </c>
      <c r="Q3" s="41" t="s">
        <v>1188</v>
      </c>
      <c r="R3" s="42" t="s">
        <v>1189</v>
      </c>
    </row>
    <row r="4" spans="1:18" ht="64.5" thickBot="1" x14ac:dyDescent="0.25">
      <c r="A4" t="s">
        <v>63</v>
      </c>
      <c r="B4" t="s">
        <v>824</v>
      </c>
      <c r="C4" t="s">
        <v>894</v>
      </c>
      <c r="D4" t="s">
        <v>953</v>
      </c>
      <c r="M4" s="41" t="s">
        <v>63</v>
      </c>
      <c r="N4" s="41" t="s">
        <v>824</v>
      </c>
      <c r="O4" s="41" t="s">
        <v>1140</v>
      </c>
      <c r="P4" s="41" t="s">
        <v>894</v>
      </c>
      <c r="Q4" s="41" t="s">
        <v>1145</v>
      </c>
      <c r="R4" s="42" t="s">
        <v>1191</v>
      </c>
    </row>
    <row r="5" spans="1:18" ht="51.75" thickBot="1" x14ac:dyDescent="0.25">
      <c r="A5" t="s">
        <v>63</v>
      </c>
      <c r="B5" t="s">
        <v>604</v>
      </c>
      <c r="C5" t="s">
        <v>483</v>
      </c>
      <c r="D5" t="s">
        <v>1051</v>
      </c>
      <c r="M5" s="41" t="s">
        <v>63</v>
      </c>
      <c r="N5" s="41" t="s">
        <v>604</v>
      </c>
      <c r="O5" s="41" t="s">
        <v>1140</v>
      </c>
      <c r="P5" s="41" t="s">
        <v>483</v>
      </c>
      <c r="Q5" s="41" t="s">
        <v>1145</v>
      </c>
      <c r="R5" s="42" t="s">
        <v>1192</v>
      </c>
    </row>
    <row r="6" spans="1:18" ht="54" thickBot="1" x14ac:dyDescent="0.4">
      <c r="A6" t="s">
        <v>111</v>
      </c>
      <c r="B6" t="s">
        <v>734</v>
      </c>
      <c r="C6" t="s">
        <v>485</v>
      </c>
      <c r="D6" t="s">
        <v>486</v>
      </c>
      <c r="M6" s="43" t="s">
        <v>112</v>
      </c>
      <c r="N6" s="41" t="s">
        <v>734</v>
      </c>
      <c r="O6" s="41" t="s">
        <v>1194</v>
      </c>
      <c r="P6" s="41" t="s">
        <v>485</v>
      </c>
      <c r="Q6" s="41" t="s">
        <v>1195</v>
      </c>
      <c r="R6" s="42" t="s">
        <v>486</v>
      </c>
    </row>
    <row r="7" spans="1:18" ht="51.75" thickBot="1" x14ac:dyDescent="0.25">
      <c r="A7" t="s">
        <v>63</v>
      </c>
      <c r="B7" t="s">
        <v>607</v>
      </c>
      <c r="C7" t="s">
        <v>487</v>
      </c>
      <c r="D7" t="s">
        <v>488</v>
      </c>
      <c r="M7" s="41" t="s">
        <v>63</v>
      </c>
      <c r="N7" s="41" t="s">
        <v>607</v>
      </c>
      <c r="O7" s="41" t="s">
        <v>1140</v>
      </c>
      <c r="P7" s="41" t="s">
        <v>487</v>
      </c>
      <c r="Q7" s="41" t="s">
        <v>1145</v>
      </c>
      <c r="R7" s="42" t="s">
        <v>488</v>
      </c>
    </row>
    <row r="8" spans="1:18" ht="39" thickBot="1" x14ac:dyDescent="0.25">
      <c r="A8" t="s">
        <v>36</v>
      </c>
      <c r="B8" t="s">
        <v>609</v>
      </c>
      <c r="C8" t="s">
        <v>271</v>
      </c>
      <c r="D8" t="s">
        <v>1052</v>
      </c>
      <c r="M8" s="41" t="s">
        <v>36</v>
      </c>
      <c r="N8" s="41" t="s">
        <v>609</v>
      </c>
      <c r="O8" s="41" t="s">
        <v>1197</v>
      </c>
      <c r="P8" s="41" t="s">
        <v>271</v>
      </c>
      <c r="Q8" s="41" t="s">
        <v>1198</v>
      </c>
      <c r="R8" s="42" t="s">
        <v>1199</v>
      </c>
    </row>
    <row r="9" spans="1:18" ht="51.75" thickBot="1" x14ac:dyDescent="0.25">
      <c r="A9" t="s">
        <v>123</v>
      </c>
      <c r="B9" t="s">
        <v>1054</v>
      </c>
      <c r="C9" t="s">
        <v>274</v>
      </c>
      <c r="D9" t="s">
        <v>1055</v>
      </c>
      <c r="M9" s="41" t="s">
        <v>36</v>
      </c>
      <c r="N9" s="41" t="s">
        <v>1201</v>
      </c>
      <c r="O9" s="41" t="s">
        <v>1202</v>
      </c>
      <c r="P9" s="41" t="s">
        <v>274</v>
      </c>
      <c r="Q9" s="41" t="s">
        <v>1203</v>
      </c>
      <c r="R9" s="42" t="s">
        <v>1204</v>
      </c>
    </row>
    <row r="10" spans="1:18" ht="41.25" thickBot="1" x14ac:dyDescent="0.4">
      <c r="A10" t="s">
        <v>111</v>
      </c>
      <c r="B10" t="s">
        <v>615</v>
      </c>
      <c r="C10" t="s">
        <v>454</v>
      </c>
      <c r="D10" t="s">
        <v>1056</v>
      </c>
      <c r="M10" s="43" t="s">
        <v>112</v>
      </c>
      <c r="N10" s="41" t="s">
        <v>615</v>
      </c>
      <c r="O10" s="41" t="s">
        <v>1194</v>
      </c>
      <c r="P10" s="41" t="s">
        <v>454</v>
      </c>
      <c r="Q10" s="41" t="s">
        <v>1195</v>
      </c>
      <c r="R10" s="42" t="s">
        <v>1205</v>
      </c>
    </row>
    <row r="11" spans="1:18" ht="51.75" thickBot="1" x14ac:dyDescent="0.25">
      <c r="A11" t="s">
        <v>123</v>
      </c>
      <c r="B11" t="s">
        <v>735</v>
      </c>
      <c r="C11" t="s">
        <v>457</v>
      </c>
      <c r="D11" t="s">
        <v>458</v>
      </c>
      <c r="M11" s="41" t="s">
        <v>36</v>
      </c>
      <c r="N11" s="41" t="s">
        <v>735</v>
      </c>
      <c r="O11" s="41" t="s">
        <v>1202</v>
      </c>
      <c r="P11" s="41" t="s">
        <v>457</v>
      </c>
      <c r="Q11" s="41" t="s">
        <v>1203</v>
      </c>
      <c r="R11" s="42" t="s">
        <v>458</v>
      </c>
    </row>
    <row r="12" spans="1:18" ht="77.25" thickBot="1" x14ac:dyDescent="0.25">
      <c r="A12" t="s">
        <v>63</v>
      </c>
      <c r="B12" t="s">
        <v>787</v>
      </c>
      <c r="C12" t="s">
        <v>956</v>
      </c>
      <c r="D12" t="s">
        <v>895</v>
      </c>
      <c r="M12" s="41" t="s">
        <v>63</v>
      </c>
      <c r="N12" s="41" t="s">
        <v>787</v>
      </c>
      <c r="O12" s="41" t="s">
        <v>1140</v>
      </c>
      <c r="P12" s="41" t="s">
        <v>1206</v>
      </c>
      <c r="Q12" s="41" t="s">
        <v>1145</v>
      </c>
      <c r="R12" s="42" t="s">
        <v>895</v>
      </c>
    </row>
    <row r="13" spans="1:18" ht="77.25" thickBot="1" x14ac:dyDescent="0.25">
      <c r="A13" t="s">
        <v>81</v>
      </c>
      <c r="B13" t="s">
        <v>788</v>
      </c>
      <c r="C13" t="s">
        <v>896</v>
      </c>
      <c r="D13" t="s">
        <v>897</v>
      </c>
      <c r="M13" s="41" t="s">
        <v>1207</v>
      </c>
      <c r="N13" s="41" t="s">
        <v>788</v>
      </c>
      <c r="O13" s="41" t="s">
        <v>1208</v>
      </c>
      <c r="P13" s="41" t="s">
        <v>896</v>
      </c>
      <c r="Q13" s="41" t="s">
        <v>1209</v>
      </c>
      <c r="R13" s="42" t="s">
        <v>897</v>
      </c>
    </row>
    <row r="14" spans="1:18" ht="90" thickBot="1" x14ac:dyDescent="0.25">
      <c r="A14" t="s">
        <v>63</v>
      </c>
      <c r="B14" t="s">
        <v>738</v>
      </c>
      <c r="C14" t="s">
        <v>898</v>
      </c>
      <c r="D14" t="s">
        <v>899</v>
      </c>
      <c r="M14" s="41" t="s">
        <v>63</v>
      </c>
      <c r="N14" s="41" t="s">
        <v>738</v>
      </c>
      <c r="O14" s="41" t="s">
        <v>1140</v>
      </c>
      <c r="P14" s="41" t="s">
        <v>898</v>
      </c>
      <c r="Q14" s="41" t="s">
        <v>1145</v>
      </c>
      <c r="R14" s="42" t="s">
        <v>899</v>
      </c>
    </row>
    <row r="15" spans="1:18" ht="90" thickBot="1" x14ac:dyDescent="0.25">
      <c r="A15" t="s">
        <v>63</v>
      </c>
      <c r="B15" t="s">
        <v>789</v>
      </c>
      <c r="C15" t="s">
        <v>900</v>
      </c>
      <c r="D15" t="s">
        <v>901</v>
      </c>
      <c r="M15" s="41" t="s">
        <v>63</v>
      </c>
      <c r="N15" s="41" t="s">
        <v>789</v>
      </c>
      <c r="O15" s="41" t="s">
        <v>1140</v>
      </c>
      <c r="P15" s="41" t="s">
        <v>900</v>
      </c>
      <c r="Q15" s="41" t="s">
        <v>1145</v>
      </c>
      <c r="R15" s="42" t="s">
        <v>901</v>
      </c>
    </row>
    <row r="16" spans="1:18" ht="90" thickBot="1" x14ac:dyDescent="0.25">
      <c r="A16" t="s">
        <v>63</v>
      </c>
      <c r="B16" t="s">
        <v>790</v>
      </c>
      <c r="C16" t="s">
        <v>902</v>
      </c>
      <c r="D16" t="s">
        <v>903</v>
      </c>
      <c r="M16" s="41" t="s">
        <v>63</v>
      </c>
      <c r="N16" s="41" t="s">
        <v>790</v>
      </c>
      <c r="O16" s="41" t="s">
        <v>1140</v>
      </c>
      <c r="P16" s="41" t="s">
        <v>902</v>
      </c>
      <c r="Q16" s="41" t="s">
        <v>1145</v>
      </c>
      <c r="R16" s="42" t="s">
        <v>903</v>
      </c>
    </row>
    <row r="17" spans="1:18" ht="90" thickBot="1" x14ac:dyDescent="0.25">
      <c r="A17" t="s">
        <v>20</v>
      </c>
      <c r="B17" t="s">
        <v>979</v>
      </c>
      <c r="C17" t="s">
        <v>980</v>
      </c>
      <c r="D17" t="s">
        <v>981</v>
      </c>
      <c r="M17" s="41" t="s">
        <v>1181</v>
      </c>
      <c r="N17" s="41" t="s">
        <v>1210</v>
      </c>
      <c r="O17" s="41" t="s">
        <v>1182</v>
      </c>
      <c r="P17" s="41" t="s">
        <v>1211</v>
      </c>
      <c r="Q17" s="41" t="s">
        <v>1183</v>
      </c>
      <c r="R17" s="42" t="s">
        <v>1212</v>
      </c>
    </row>
    <row r="18" spans="1:18" ht="64.5" thickBot="1" x14ac:dyDescent="0.25">
      <c r="A18" t="s">
        <v>63</v>
      </c>
      <c r="B18" t="s">
        <v>701</v>
      </c>
      <c r="C18" t="s">
        <v>961</v>
      </c>
      <c r="D18" t="s">
        <v>509</v>
      </c>
      <c r="M18" s="41" t="s">
        <v>63</v>
      </c>
      <c r="N18" s="41" t="s">
        <v>701</v>
      </c>
      <c r="O18" s="41" t="s">
        <v>1140</v>
      </c>
      <c r="P18" s="41" t="s">
        <v>1213</v>
      </c>
      <c r="Q18" s="41" t="s">
        <v>1145</v>
      </c>
      <c r="R18" s="42" t="s">
        <v>509</v>
      </c>
    </row>
    <row r="19" spans="1:18" ht="39" thickBot="1" x14ac:dyDescent="0.25">
      <c r="A19" t="s">
        <v>81</v>
      </c>
      <c r="B19" t="s">
        <v>694</v>
      </c>
      <c r="C19" t="s">
        <v>517</v>
      </c>
      <c r="D19" t="s">
        <v>1062</v>
      </c>
      <c r="M19" s="41" t="s">
        <v>1207</v>
      </c>
      <c r="N19" s="41" t="s">
        <v>694</v>
      </c>
      <c r="O19" s="41" t="s">
        <v>1208</v>
      </c>
      <c r="P19" s="41" t="s">
        <v>517</v>
      </c>
      <c r="Q19" s="41" t="s">
        <v>1209</v>
      </c>
      <c r="R19" s="42" t="s">
        <v>1214</v>
      </c>
    </row>
    <row r="20" spans="1:18" ht="102.75" thickBot="1" x14ac:dyDescent="0.25">
      <c r="A20" t="s">
        <v>21</v>
      </c>
      <c r="B20" t="s">
        <v>1059</v>
      </c>
      <c r="C20" t="s">
        <v>1060</v>
      </c>
      <c r="D20" t="s">
        <v>1061</v>
      </c>
      <c r="M20" s="41" t="s">
        <v>1181</v>
      </c>
      <c r="N20" s="41" t="s">
        <v>1215</v>
      </c>
      <c r="O20" s="41" t="s">
        <v>1182</v>
      </c>
      <c r="P20" s="41" t="s">
        <v>1216</v>
      </c>
      <c r="Q20" s="41" t="s">
        <v>1183</v>
      </c>
      <c r="R20" s="42" t="s">
        <v>1217</v>
      </c>
    </row>
    <row r="21" spans="1:18" ht="51.75" thickBot="1" x14ac:dyDescent="0.25">
      <c r="A21" t="s">
        <v>25</v>
      </c>
      <c r="B21" t="s">
        <v>791</v>
      </c>
      <c r="C21" t="s">
        <v>397</v>
      </c>
      <c r="D21" t="s">
        <v>438</v>
      </c>
      <c r="M21" s="41" t="s">
        <v>1184</v>
      </c>
      <c r="N21" s="41" t="s">
        <v>791</v>
      </c>
      <c r="O21" s="41" t="s">
        <v>1186</v>
      </c>
      <c r="P21" s="41" t="s">
        <v>397</v>
      </c>
      <c r="Q21" s="41" t="s">
        <v>1188</v>
      </c>
      <c r="R21" s="42" t="s">
        <v>438</v>
      </c>
    </row>
    <row r="22" spans="1:18" ht="64.5" thickBot="1" x14ac:dyDescent="0.25">
      <c r="A22" t="s">
        <v>63</v>
      </c>
      <c r="B22" t="s">
        <v>742</v>
      </c>
      <c r="C22" t="s">
        <v>957</v>
      </c>
      <c r="D22" t="s">
        <v>503</v>
      </c>
      <c r="M22" s="41" t="s">
        <v>63</v>
      </c>
      <c r="N22" s="41" t="s">
        <v>742</v>
      </c>
      <c r="O22" s="41" t="s">
        <v>1140</v>
      </c>
      <c r="P22" s="41" t="s">
        <v>292</v>
      </c>
      <c r="Q22" s="41" t="s">
        <v>1145</v>
      </c>
      <c r="R22" s="42" t="s">
        <v>503</v>
      </c>
    </row>
    <row r="23" spans="1:18" ht="39" thickBot="1" x14ac:dyDescent="0.25">
      <c r="A23" t="s">
        <v>123</v>
      </c>
      <c r="B23" t="s">
        <v>630</v>
      </c>
      <c r="C23" t="s">
        <v>297</v>
      </c>
      <c r="D23" t="s">
        <v>515</v>
      </c>
      <c r="M23" s="41" t="s">
        <v>36</v>
      </c>
      <c r="N23" s="41" t="s">
        <v>630</v>
      </c>
      <c r="O23" s="41" t="s">
        <v>1202</v>
      </c>
      <c r="P23" s="41" t="s">
        <v>297</v>
      </c>
      <c r="Q23" s="41" t="s">
        <v>1203</v>
      </c>
      <c r="R23" s="42" t="s">
        <v>515</v>
      </c>
    </row>
    <row r="24" spans="1:18" ht="54" thickBot="1" x14ac:dyDescent="0.4">
      <c r="A24" t="s">
        <v>104</v>
      </c>
      <c r="B24" t="s">
        <v>633</v>
      </c>
      <c r="C24" t="s">
        <v>304</v>
      </c>
      <c r="D24" t="s">
        <v>528</v>
      </c>
      <c r="M24" s="43" t="s">
        <v>1272</v>
      </c>
      <c r="N24" s="41" t="s">
        <v>633</v>
      </c>
      <c r="O24" s="41" t="s">
        <v>1219</v>
      </c>
      <c r="P24" s="41" t="s">
        <v>304</v>
      </c>
      <c r="Q24" s="41" t="s">
        <v>1220</v>
      </c>
      <c r="R24" s="42" t="s">
        <v>528</v>
      </c>
    </row>
    <row r="25" spans="1:18" ht="77.25" thickBot="1" x14ac:dyDescent="0.25">
      <c r="A25" t="s">
        <v>20</v>
      </c>
      <c r="B25" t="s">
        <v>792</v>
      </c>
      <c r="C25" t="s">
        <v>904</v>
      </c>
      <c r="D25" t="s">
        <v>905</v>
      </c>
      <c r="M25" s="41" t="s">
        <v>1181</v>
      </c>
      <c r="N25" s="41" t="s">
        <v>792</v>
      </c>
      <c r="O25" s="41" t="s">
        <v>1182</v>
      </c>
      <c r="P25" s="41" t="s">
        <v>904</v>
      </c>
      <c r="Q25" s="41" t="s">
        <v>1183</v>
      </c>
      <c r="R25" s="42" t="s">
        <v>905</v>
      </c>
    </row>
    <row r="26" spans="1:18" ht="90" thickBot="1" x14ac:dyDescent="0.25">
      <c r="A26" t="s">
        <v>20</v>
      </c>
      <c r="B26" t="s">
        <v>1064</v>
      </c>
      <c r="C26" t="s">
        <v>906</v>
      </c>
      <c r="D26" t="s">
        <v>907</v>
      </c>
      <c r="M26" s="41" t="s">
        <v>1181</v>
      </c>
      <c r="N26" s="41" t="s">
        <v>1221</v>
      </c>
      <c r="O26" s="41" t="s">
        <v>1182</v>
      </c>
      <c r="P26" s="41" t="s">
        <v>906</v>
      </c>
      <c r="Q26" s="41" t="s">
        <v>1183</v>
      </c>
      <c r="R26" s="42" t="s">
        <v>907</v>
      </c>
    </row>
    <row r="27" spans="1:18" ht="77.25" thickBot="1" x14ac:dyDescent="0.25">
      <c r="A27" t="s">
        <v>63</v>
      </c>
      <c r="B27" t="s">
        <v>794</v>
      </c>
      <c r="C27" t="s">
        <v>908</v>
      </c>
      <c r="D27" t="s">
        <v>909</v>
      </c>
      <c r="M27" s="41" t="s">
        <v>63</v>
      </c>
      <c r="N27" s="41" t="s">
        <v>794</v>
      </c>
      <c r="O27" s="41" t="s">
        <v>1140</v>
      </c>
      <c r="P27" s="41" t="s">
        <v>908</v>
      </c>
      <c r="Q27" s="41" t="s">
        <v>1145</v>
      </c>
      <c r="R27" s="42" t="s">
        <v>909</v>
      </c>
    </row>
    <row r="28" spans="1:18" ht="66.75" thickBot="1" x14ac:dyDescent="0.4">
      <c r="A28" t="s">
        <v>91</v>
      </c>
      <c r="B28" t="s">
        <v>826</v>
      </c>
      <c r="C28" t="s">
        <v>492</v>
      </c>
      <c r="D28" t="s">
        <v>493</v>
      </c>
      <c r="M28" s="43" t="s">
        <v>92</v>
      </c>
      <c r="N28" s="41" t="s">
        <v>826</v>
      </c>
      <c r="O28" s="41" t="s">
        <v>1223</v>
      </c>
      <c r="P28" s="41" t="s">
        <v>492</v>
      </c>
      <c r="Q28" s="41" t="s">
        <v>1224</v>
      </c>
      <c r="R28" s="42" t="s">
        <v>493</v>
      </c>
    </row>
    <row r="29" spans="1:18" ht="64.5" thickBot="1" x14ac:dyDescent="0.25">
      <c r="A29" t="s">
        <v>63</v>
      </c>
      <c r="B29" t="s">
        <v>1065</v>
      </c>
      <c r="C29" t="s">
        <v>1066</v>
      </c>
      <c r="D29" t="s">
        <v>495</v>
      </c>
      <c r="M29" s="41" t="s">
        <v>63</v>
      </c>
      <c r="N29" s="41" t="s">
        <v>1225</v>
      </c>
      <c r="O29" s="41" t="s">
        <v>1140</v>
      </c>
      <c r="P29" s="41" t="s">
        <v>1226</v>
      </c>
      <c r="Q29" s="41" t="s">
        <v>1145</v>
      </c>
      <c r="R29" s="42" t="s">
        <v>495</v>
      </c>
    </row>
    <row r="30" spans="1:18" ht="54" thickBot="1" x14ac:dyDescent="0.4">
      <c r="A30" t="s">
        <v>123</v>
      </c>
      <c r="B30" t="s">
        <v>746</v>
      </c>
      <c r="C30" t="s">
        <v>510</v>
      </c>
      <c r="D30" t="s">
        <v>892</v>
      </c>
      <c r="M30" s="43" t="s">
        <v>112</v>
      </c>
      <c r="N30" s="41" t="s">
        <v>746</v>
      </c>
      <c r="O30" s="41" t="s">
        <v>1202</v>
      </c>
      <c r="P30" s="41" t="s">
        <v>510</v>
      </c>
      <c r="Q30" s="41" t="s">
        <v>1203</v>
      </c>
      <c r="R30" s="42" t="s">
        <v>892</v>
      </c>
    </row>
    <row r="31" spans="1:18" ht="51.75" thickBot="1" x14ac:dyDescent="0.25">
      <c r="A31" t="s">
        <v>123</v>
      </c>
      <c r="B31" t="s">
        <v>747</v>
      </c>
      <c r="C31" t="s">
        <v>295</v>
      </c>
      <c r="D31" t="s">
        <v>1068</v>
      </c>
      <c r="M31" s="41" t="s">
        <v>36</v>
      </c>
      <c r="N31" s="41" t="s">
        <v>747</v>
      </c>
      <c r="O31" s="41" t="s">
        <v>1202</v>
      </c>
      <c r="P31" s="41" t="s">
        <v>295</v>
      </c>
      <c r="Q31" s="41" t="s">
        <v>1203</v>
      </c>
      <c r="R31" s="42" t="s">
        <v>1227</v>
      </c>
    </row>
    <row r="32" spans="1:18" ht="54" thickBot="1" x14ac:dyDescent="0.4">
      <c r="A32" t="s">
        <v>104</v>
      </c>
      <c r="B32" t="s">
        <v>647</v>
      </c>
      <c r="C32" t="s">
        <v>525</v>
      </c>
      <c r="D32" t="s">
        <v>526</v>
      </c>
      <c r="M32" s="43" t="s">
        <v>1272</v>
      </c>
      <c r="N32" s="41" t="s">
        <v>647</v>
      </c>
      <c r="O32" s="41" t="s">
        <v>1219</v>
      </c>
      <c r="P32" s="41" t="s">
        <v>525</v>
      </c>
      <c r="Q32" s="41" t="s">
        <v>1220</v>
      </c>
      <c r="R32" s="42" t="s">
        <v>526</v>
      </c>
    </row>
    <row r="33" spans="1:18" ht="102.75" thickBot="1" x14ac:dyDescent="0.25">
      <c r="A33" t="s">
        <v>63</v>
      </c>
      <c r="B33" t="s">
        <v>749</v>
      </c>
      <c r="C33" t="s">
        <v>910</v>
      </c>
      <c r="D33" t="s">
        <v>911</v>
      </c>
      <c r="M33" s="41" t="s">
        <v>63</v>
      </c>
      <c r="N33" s="41" t="s">
        <v>749</v>
      </c>
      <c r="O33" s="41" t="s">
        <v>1140</v>
      </c>
      <c r="P33" s="41" t="s">
        <v>910</v>
      </c>
      <c r="Q33" s="41" t="s">
        <v>1145</v>
      </c>
      <c r="R33" s="42" t="s">
        <v>911</v>
      </c>
    </row>
    <row r="34" spans="1:18" ht="77.25" thickBot="1" x14ac:dyDescent="0.25">
      <c r="A34" t="s">
        <v>63</v>
      </c>
      <c r="B34" t="s">
        <v>795</v>
      </c>
      <c r="C34" t="s">
        <v>958</v>
      </c>
      <c r="D34" t="s">
        <v>912</v>
      </c>
      <c r="M34" s="41" t="s">
        <v>63</v>
      </c>
      <c r="N34" s="41" t="s">
        <v>795</v>
      </c>
      <c r="O34" s="41" t="s">
        <v>1140</v>
      </c>
      <c r="P34" s="41" t="s">
        <v>1228</v>
      </c>
      <c r="Q34" s="41" t="s">
        <v>1145</v>
      </c>
      <c r="R34" s="42" t="s">
        <v>912</v>
      </c>
    </row>
    <row r="35" spans="1:18" ht="92.25" thickBot="1" x14ac:dyDescent="0.4">
      <c r="A35" t="s">
        <v>91</v>
      </c>
      <c r="B35" t="s">
        <v>752</v>
      </c>
      <c r="C35" t="s">
        <v>913</v>
      </c>
      <c r="D35" t="s">
        <v>914</v>
      </c>
      <c r="M35" s="43" t="s">
        <v>92</v>
      </c>
      <c r="N35" s="41" t="s">
        <v>752</v>
      </c>
      <c r="O35" s="41" t="s">
        <v>1223</v>
      </c>
      <c r="P35" s="41" t="s">
        <v>913</v>
      </c>
      <c r="Q35" s="41" t="s">
        <v>1224</v>
      </c>
      <c r="R35" s="42" t="s">
        <v>914</v>
      </c>
    </row>
    <row r="36" spans="1:18" ht="90" thickBot="1" x14ac:dyDescent="0.25">
      <c r="A36" t="s">
        <v>20</v>
      </c>
      <c r="B36" t="s">
        <v>1069</v>
      </c>
      <c r="C36" t="s">
        <v>915</v>
      </c>
      <c r="D36" t="s">
        <v>1070</v>
      </c>
      <c r="M36" s="41" t="s">
        <v>1181</v>
      </c>
      <c r="N36" s="41" t="s">
        <v>1229</v>
      </c>
      <c r="O36" s="41" t="s">
        <v>1182</v>
      </c>
      <c r="P36" s="41" t="s">
        <v>915</v>
      </c>
      <c r="Q36" s="41" t="s">
        <v>1183</v>
      </c>
      <c r="R36" s="42" t="s">
        <v>1230</v>
      </c>
    </row>
    <row r="37" spans="1:18" ht="90" thickBot="1" x14ac:dyDescent="0.25">
      <c r="A37" t="s">
        <v>20</v>
      </c>
      <c r="B37" t="s">
        <v>796</v>
      </c>
      <c r="C37" t="s">
        <v>916</v>
      </c>
      <c r="D37" t="s">
        <v>917</v>
      </c>
      <c r="M37" s="41" t="s">
        <v>1181</v>
      </c>
      <c r="N37" s="41" t="s">
        <v>796</v>
      </c>
      <c r="O37" s="41" t="s">
        <v>1182</v>
      </c>
      <c r="P37" s="41" t="s">
        <v>916</v>
      </c>
      <c r="Q37" s="41" t="s">
        <v>1183</v>
      </c>
      <c r="R37" s="42" t="s">
        <v>917</v>
      </c>
    </row>
    <row r="38" spans="1:18" ht="90" thickBot="1" x14ac:dyDescent="0.25">
      <c r="A38" t="s">
        <v>63</v>
      </c>
      <c r="B38" t="s">
        <v>1071</v>
      </c>
      <c r="C38" t="s">
        <v>918</v>
      </c>
      <c r="D38" t="s">
        <v>919</v>
      </c>
      <c r="M38" s="41" t="s">
        <v>63</v>
      </c>
      <c r="N38" s="41" t="s">
        <v>1231</v>
      </c>
      <c r="O38" s="41" t="s">
        <v>1140</v>
      </c>
      <c r="P38" s="41" t="s">
        <v>918</v>
      </c>
      <c r="Q38" s="41" t="s">
        <v>1145</v>
      </c>
      <c r="R38" s="42" t="s">
        <v>919</v>
      </c>
    </row>
    <row r="39" spans="1:18" ht="77.25" thickBot="1" x14ac:dyDescent="0.25">
      <c r="A39" t="s">
        <v>36</v>
      </c>
      <c r="B39" t="s">
        <v>827</v>
      </c>
      <c r="C39" t="s">
        <v>443</v>
      </c>
      <c r="D39" t="s">
        <v>444</v>
      </c>
      <c r="M39" s="41" t="s">
        <v>36</v>
      </c>
      <c r="N39" s="41" t="s">
        <v>827</v>
      </c>
      <c r="O39" s="41" t="s">
        <v>1197</v>
      </c>
      <c r="P39" s="41" t="s">
        <v>443</v>
      </c>
      <c r="Q39" s="41" t="s">
        <v>1232</v>
      </c>
      <c r="R39" s="42" t="s">
        <v>444</v>
      </c>
    </row>
    <row r="40" spans="1:18" ht="64.5" thickBot="1" x14ac:dyDescent="0.25">
      <c r="A40" t="s">
        <v>81</v>
      </c>
      <c r="B40" t="s">
        <v>828</v>
      </c>
      <c r="C40" t="s">
        <v>519</v>
      </c>
      <c r="D40" t="s">
        <v>520</v>
      </c>
      <c r="M40" s="41" t="s">
        <v>1207</v>
      </c>
      <c r="N40" s="41" t="s">
        <v>828</v>
      </c>
      <c r="O40" s="41" t="s">
        <v>1208</v>
      </c>
      <c r="P40" s="41" t="s">
        <v>519</v>
      </c>
      <c r="Q40" s="41" t="s">
        <v>1209</v>
      </c>
      <c r="R40" s="42" t="s">
        <v>520</v>
      </c>
    </row>
    <row r="41" spans="1:18" ht="77.25" thickBot="1" x14ac:dyDescent="0.25">
      <c r="A41" t="s">
        <v>81</v>
      </c>
      <c r="B41" t="s">
        <v>829</v>
      </c>
      <c r="C41" t="s">
        <v>522</v>
      </c>
      <c r="D41" t="s">
        <v>523</v>
      </c>
      <c r="M41" s="41" t="s">
        <v>1207</v>
      </c>
      <c r="N41" s="41" t="s">
        <v>829</v>
      </c>
      <c r="O41" s="41" t="s">
        <v>1208</v>
      </c>
      <c r="P41" s="41" t="s">
        <v>522</v>
      </c>
      <c r="Q41" s="41" t="s">
        <v>1209</v>
      </c>
      <c r="R41" s="42" t="s">
        <v>523</v>
      </c>
    </row>
    <row r="42" spans="1:18" ht="66.75" thickBot="1" x14ac:dyDescent="0.4">
      <c r="A42" t="s">
        <v>91</v>
      </c>
      <c r="B42" t="s">
        <v>1072</v>
      </c>
      <c r="C42" t="s">
        <v>301</v>
      </c>
      <c r="D42" t="s">
        <v>893</v>
      </c>
      <c r="M42" s="43" t="s">
        <v>92</v>
      </c>
      <c r="N42" s="41" t="s">
        <v>1233</v>
      </c>
      <c r="O42" s="41" t="s">
        <v>1223</v>
      </c>
      <c r="P42" s="41" t="s">
        <v>301</v>
      </c>
      <c r="Q42" s="41" t="s">
        <v>1224</v>
      </c>
      <c r="R42" s="42" t="s">
        <v>893</v>
      </c>
    </row>
    <row r="43" spans="1:18" ht="64.5" thickBot="1" x14ac:dyDescent="0.25">
      <c r="A43" t="s">
        <v>47</v>
      </c>
      <c r="B43" t="s">
        <v>1073</v>
      </c>
      <c r="C43" t="s">
        <v>472</v>
      </c>
      <c r="D43" t="s">
        <v>1074</v>
      </c>
      <c r="M43" s="41" t="s">
        <v>663</v>
      </c>
      <c r="N43" s="41" t="s">
        <v>1234</v>
      </c>
      <c r="O43" s="41" t="s">
        <v>1235</v>
      </c>
      <c r="P43" s="41" t="s">
        <v>472</v>
      </c>
      <c r="Q43" s="41" t="s">
        <v>1236</v>
      </c>
      <c r="R43" s="42" t="s">
        <v>1237</v>
      </c>
    </row>
    <row r="44" spans="1:18" ht="39" thickBot="1" x14ac:dyDescent="0.25">
      <c r="A44" t="s">
        <v>47</v>
      </c>
      <c r="B44" t="s">
        <v>664</v>
      </c>
      <c r="C44" t="s">
        <v>472</v>
      </c>
      <c r="D44" t="s">
        <v>965</v>
      </c>
      <c r="M44" s="41" t="s">
        <v>663</v>
      </c>
      <c r="N44" s="41" t="s">
        <v>664</v>
      </c>
      <c r="O44" s="41" t="s">
        <v>1235</v>
      </c>
      <c r="P44" s="41" t="s">
        <v>472</v>
      </c>
      <c r="Q44" s="41" t="s">
        <v>1236</v>
      </c>
      <c r="R44" s="42" t="s">
        <v>1238</v>
      </c>
    </row>
    <row r="45" spans="1:18" ht="39" thickBot="1" x14ac:dyDescent="0.25">
      <c r="A45" t="s">
        <v>47</v>
      </c>
      <c r="B45" t="s">
        <v>758</v>
      </c>
      <c r="C45" t="s">
        <v>281</v>
      </c>
      <c r="D45" t="s">
        <v>477</v>
      </c>
      <c r="M45" s="41" t="s">
        <v>663</v>
      </c>
      <c r="N45" s="41" t="s">
        <v>758</v>
      </c>
      <c r="O45" s="41" t="s">
        <v>1235</v>
      </c>
      <c r="P45" s="41" t="s">
        <v>281</v>
      </c>
      <c r="Q45" s="41" t="s">
        <v>1236</v>
      </c>
      <c r="R45" s="42" t="s">
        <v>477</v>
      </c>
    </row>
    <row r="46" spans="1:18" ht="39" thickBot="1" x14ac:dyDescent="0.25">
      <c r="A46" t="s">
        <v>47</v>
      </c>
      <c r="B46" t="s">
        <v>832</v>
      </c>
      <c r="C46" t="s">
        <v>282</v>
      </c>
      <c r="D46" t="s">
        <v>479</v>
      </c>
      <c r="M46" s="41" t="s">
        <v>663</v>
      </c>
      <c r="N46" s="41" t="s">
        <v>832</v>
      </c>
      <c r="O46" s="41" t="s">
        <v>1235</v>
      </c>
      <c r="P46" s="41" t="s">
        <v>282</v>
      </c>
      <c r="Q46" s="41" t="s">
        <v>1236</v>
      </c>
      <c r="R46" s="42" t="s">
        <v>479</v>
      </c>
    </row>
    <row r="47" spans="1:18" ht="64.5" thickBot="1" x14ac:dyDescent="0.25">
      <c r="A47" t="s">
        <v>47</v>
      </c>
      <c r="B47" t="s">
        <v>834</v>
      </c>
      <c r="C47" t="s">
        <v>283</v>
      </c>
      <c r="D47" t="s">
        <v>481</v>
      </c>
      <c r="M47" s="41" t="s">
        <v>663</v>
      </c>
      <c r="N47" s="41" t="s">
        <v>834</v>
      </c>
      <c r="O47" s="41" t="s">
        <v>1235</v>
      </c>
      <c r="P47" s="41" t="s">
        <v>283</v>
      </c>
      <c r="Q47" s="41" t="s">
        <v>1236</v>
      </c>
      <c r="R47" s="42" t="s">
        <v>481</v>
      </c>
    </row>
    <row r="48" spans="1:18" ht="51.75" thickBot="1" x14ac:dyDescent="0.25">
      <c r="A48" t="s">
        <v>36</v>
      </c>
      <c r="B48" t="s">
        <v>670</v>
      </c>
      <c r="C48" t="s">
        <v>273</v>
      </c>
      <c r="D48" t="s">
        <v>451</v>
      </c>
      <c r="M48" s="41" t="s">
        <v>36</v>
      </c>
      <c r="N48" s="41" t="s">
        <v>670</v>
      </c>
      <c r="O48" s="41" t="s">
        <v>1197</v>
      </c>
      <c r="P48" s="41" t="s">
        <v>273</v>
      </c>
      <c r="Q48" s="41" t="s">
        <v>1232</v>
      </c>
      <c r="R48" s="42" t="s">
        <v>451</v>
      </c>
    </row>
    <row r="49" spans="1:18" ht="77.25" thickBot="1" x14ac:dyDescent="0.25">
      <c r="A49" t="s">
        <v>1075</v>
      </c>
      <c r="B49" t="s">
        <v>760</v>
      </c>
      <c r="C49" t="s">
        <v>920</v>
      </c>
      <c r="D49" t="s">
        <v>921</v>
      </c>
      <c r="M49" s="41" t="s">
        <v>1239</v>
      </c>
      <c r="N49" s="41" t="s">
        <v>760</v>
      </c>
      <c r="O49" s="41" t="s">
        <v>1240</v>
      </c>
      <c r="P49" s="41" t="s">
        <v>920</v>
      </c>
      <c r="Q49" s="41" t="s">
        <v>1241</v>
      </c>
      <c r="R49" s="42" t="s">
        <v>921</v>
      </c>
    </row>
    <row r="50" spans="1:18" ht="77.25" thickBot="1" x14ac:dyDescent="0.25">
      <c r="A50" t="s">
        <v>63</v>
      </c>
      <c r="B50" t="s">
        <v>673</v>
      </c>
      <c r="C50" t="s">
        <v>922</v>
      </c>
      <c r="D50" t="s">
        <v>923</v>
      </c>
      <c r="M50" s="41" t="s">
        <v>63</v>
      </c>
      <c r="N50" s="41" t="s">
        <v>673</v>
      </c>
      <c r="O50" s="41" t="s">
        <v>1140</v>
      </c>
      <c r="P50" s="41" t="s">
        <v>922</v>
      </c>
      <c r="Q50" s="41" t="s">
        <v>1145</v>
      </c>
      <c r="R50" s="42" t="s">
        <v>923</v>
      </c>
    </row>
    <row r="51" spans="1:18" ht="90" thickBot="1" x14ac:dyDescent="0.25">
      <c r="A51" t="s">
        <v>124</v>
      </c>
      <c r="B51" t="s">
        <v>761</v>
      </c>
      <c r="C51" t="s">
        <v>924</v>
      </c>
      <c r="D51" t="s">
        <v>925</v>
      </c>
      <c r="M51" s="41" t="s">
        <v>36</v>
      </c>
      <c r="N51" s="41" t="s">
        <v>761</v>
      </c>
      <c r="O51" s="41" t="s">
        <v>1202</v>
      </c>
      <c r="P51" s="41" t="s">
        <v>924</v>
      </c>
      <c r="Q51" s="41" t="s">
        <v>1203</v>
      </c>
      <c r="R51" s="42" t="s">
        <v>925</v>
      </c>
    </row>
    <row r="52" spans="1:18" ht="77.25" thickBot="1" x14ac:dyDescent="0.25">
      <c r="A52" t="s">
        <v>36</v>
      </c>
      <c r="B52" t="s">
        <v>835</v>
      </c>
      <c r="C52" t="s">
        <v>926</v>
      </c>
      <c r="D52" t="s">
        <v>927</v>
      </c>
      <c r="M52" s="41" t="s">
        <v>36</v>
      </c>
      <c r="N52" s="41" t="s">
        <v>835</v>
      </c>
      <c r="O52" s="41" t="s">
        <v>1197</v>
      </c>
      <c r="P52" s="41" t="s">
        <v>926</v>
      </c>
      <c r="Q52" s="41" t="s">
        <v>1232</v>
      </c>
      <c r="R52" s="42" t="s">
        <v>927</v>
      </c>
    </row>
    <row r="53" spans="1:18" ht="51.75" thickBot="1" x14ac:dyDescent="0.25">
      <c r="A53" t="s">
        <v>63</v>
      </c>
      <c r="B53" t="s">
        <v>836</v>
      </c>
      <c r="C53" t="s">
        <v>460</v>
      </c>
      <c r="D53" t="s">
        <v>461</v>
      </c>
      <c r="M53" s="41" t="s">
        <v>63</v>
      </c>
      <c r="N53" s="41" t="s">
        <v>836</v>
      </c>
      <c r="O53" s="41" t="s">
        <v>1140</v>
      </c>
      <c r="P53" s="41" t="s">
        <v>460</v>
      </c>
      <c r="Q53" s="41" t="s">
        <v>1145</v>
      </c>
      <c r="R53" s="42" t="s">
        <v>461</v>
      </c>
    </row>
    <row r="54" spans="1:18" ht="51.75" thickBot="1" x14ac:dyDescent="0.25">
      <c r="A54" t="s">
        <v>36</v>
      </c>
      <c r="B54" t="s">
        <v>680</v>
      </c>
      <c r="C54" t="s">
        <v>272</v>
      </c>
      <c r="D54" t="s">
        <v>450</v>
      </c>
      <c r="M54" s="41" t="s">
        <v>36</v>
      </c>
      <c r="N54" s="41" t="s">
        <v>680</v>
      </c>
      <c r="O54" s="41" t="s">
        <v>1197</v>
      </c>
      <c r="P54" s="41" t="s">
        <v>272</v>
      </c>
      <c r="Q54" s="41" t="s">
        <v>1232</v>
      </c>
      <c r="R54" s="42" t="s">
        <v>450</v>
      </c>
    </row>
    <row r="55" spans="1:18" ht="39" thickBot="1" x14ac:dyDescent="0.25">
      <c r="A55" t="s">
        <v>63</v>
      </c>
      <c r="B55" t="s">
        <v>682</v>
      </c>
      <c r="C55" t="s">
        <v>287</v>
      </c>
      <c r="D55" t="s">
        <v>490</v>
      </c>
      <c r="M55" s="41" t="s">
        <v>63</v>
      </c>
      <c r="N55" s="41" t="s">
        <v>682</v>
      </c>
      <c r="O55" s="41" t="s">
        <v>1140</v>
      </c>
      <c r="P55" s="41" t="s">
        <v>287</v>
      </c>
      <c r="Q55" s="41" t="s">
        <v>1145</v>
      </c>
      <c r="R55" s="42" t="s">
        <v>490</v>
      </c>
    </row>
    <row r="56" spans="1:18" ht="51.75" thickBot="1" x14ac:dyDescent="0.25">
      <c r="A56" t="s">
        <v>63</v>
      </c>
      <c r="B56" t="s">
        <v>684</v>
      </c>
      <c r="C56" t="s">
        <v>497</v>
      </c>
      <c r="D56" t="s">
        <v>498</v>
      </c>
      <c r="M56" s="41" t="s">
        <v>63</v>
      </c>
      <c r="N56" s="41" t="s">
        <v>684</v>
      </c>
      <c r="O56" s="41" t="s">
        <v>1140</v>
      </c>
      <c r="P56" s="41" t="s">
        <v>497</v>
      </c>
      <c r="Q56" s="41" t="s">
        <v>1145</v>
      </c>
      <c r="R56" s="42" t="s">
        <v>498</v>
      </c>
    </row>
    <row r="57" spans="1:18" ht="51.75" thickBot="1" x14ac:dyDescent="0.25">
      <c r="A57" t="s">
        <v>63</v>
      </c>
      <c r="B57" t="s">
        <v>686</v>
      </c>
      <c r="C57" t="s">
        <v>499</v>
      </c>
      <c r="D57" t="s">
        <v>500</v>
      </c>
      <c r="M57" s="41" t="s">
        <v>63</v>
      </c>
      <c r="N57" s="41" t="s">
        <v>686</v>
      </c>
      <c r="O57" s="41" t="s">
        <v>1140</v>
      </c>
      <c r="P57" s="41" t="s">
        <v>499</v>
      </c>
      <c r="Q57" s="41" t="s">
        <v>1145</v>
      </c>
      <c r="R57" s="42" t="s">
        <v>500</v>
      </c>
    </row>
    <row r="58" spans="1:18" ht="64.5" thickBot="1" x14ac:dyDescent="0.25">
      <c r="A58" t="s">
        <v>63</v>
      </c>
      <c r="B58" t="s">
        <v>762</v>
      </c>
      <c r="C58" t="s">
        <v>505</v>
      </c>
      <c r="D58" t="s">
        <v>506</v>
      </c>
      <c r="M58" s="41" t="s">
        <v>63</v>
      </c>
      <c r="N58" s="41" t="s">
        <v>762</v>
      </c>
      <c r="O58" s="41" t="s">
        <v>1140</v>
      </c>
      <c r="P58" s="41" t="s">
        <v>505</v>
      </c>
      <c r="Q58" s="41" t="s">
        <v>1145</v>
      </c>
      <c r="R58" s="42" t="s">
        <v>506</v>
      </c>
    </row>
    <row r="59" spans="1:18" ht="66.75" thickBot="1" x14ac:dyDescent="0.4">
      <c r="A59" t="s">
        <v>130</v>
      </c>
      <c r="B59" t="s">
        <v>763</v>
      </c>
      <c r="C59" t="s">
        <v>959</v>
      </c>
      <c r="D59" t="s">
        <v>530</v>
      </c>
      <c r="M59" s="43" t="s">
        <v>1273</v>
      </c>
      <c r="N59" s="41" t="s">
        <v>763</v>
      </c>
      <c r="O59" s="41" t="s">
        <v>1243</v>
      </c>
      <c r="P59" s="41" t="s">
        <v>1244</v>
      </c>
      <c r="Q59" s="41" t="s">
        <v>1245</v>
      </c>
      <c r="R59" s="42" t="s">
        <v>530</v>
      </c>
    </row>
    <row r="60" spans="1:18" ht="90" thickBot="1" x14ac:dyDescent="0.25">
      <c r="A60" t="s">
        <v>20</v>
      </c>
      <c r="B60" t="s">
        <v>765</v>
      </c>
      <c r="C60" t="s">
        <v>928</v>
      </c>
      <c r="D60" t="s">
        <v>966</v>
      </c>
      <c r="M60" s="41" t="s">
        <v>1181</v>
      </c>
      <c r="N60" s="41" t="s">
        <v>765</v>
      </c>
      <c r="O60" s="41" t="s">
        <v>1182</v>
      </c>
      <c r="P60" s="41" t="s">
        <v>928</v>
      </c>
      <c r="Q60" s="41" t="s">
        <v>1183</v>
      </c>
      <c r="R60" s="42" t="s">
        <v>1246</v>
      </c>
    </row>
    <row r="61" spans="1:18" ht="66.75" thickBot="1" x14ac:dyDescent="0.4">
      <c r="A61" t="s">
        <v>11</v>
      </c>
      <c r="B61" t="s">
        <v>692</v>
      </c>
      <c r="C61" t="s">
        <v>960</v>
      </c>
      <c r="D61" t="s">
        <v>433</v>
      </c>
      <c r="M61" s="43" t="s">
        <v>12</v>
      </c>
      <c r="N61" s="41" t="s">
        <v>692</v>
      </c>
      <c r="O61" s="41" t="s">
        <v>1248</v>
      </c>
      <c r="P61" s="41" t="s">
        <v>1249</v>
      </c>
      <c r="Q61" s="41" t="s">
        <v>1223</v>
      </c>
      <c r="R61" s="42" t="s">
        <v>433</v>
      </c>
    </row>
    <row r="62" spans="1:18" ht="39" thickBot="1" x14ac:dyDescent="0.25">
      <c r="A62" t="s">
        <v>123</v>
      </c>
      <c r="B62" t="s">
        <v>696</v>
      </c>
      <c r="C62" t="s">
        <v>463</v>
      </c>
      <c r="D62" t="s">
        <v>464</v>
      </c>
      <c r="M62" s="41" t="s">
        <v>36</v>
      </c>
      <c r="N62" s="41" t="s">
        <v>696</v>
      </c>
      <c r="O62" s="41" t="s">
        <v>1202</v>
      </c>
      <c r="P62" s="41" t="s">
        <v>463</v>
      </c>
      <c r="Q62" s="41" t="s">
        <v>1203</v>
      </c>
      <c r="R62" s="42" t="s">
        <v>464</v>
      </c>
    </row>
    <row r="63" spans="1:18" ht="39" thickBot="1" x14ac:dyDescent="0.25">
      <c r="A63" t="s">
        <v>123</v>
      </c>
      <c r="B63" t="s">
        <v>696</v>
      </c>
      <c r="C63" t="s">
        <v>466</v>
      </c>
      <c r="D63" t="s">
        <v>467</v>
      </c>
      <c r="M63" s="41" t="s">
        <v>36</v>
      </c>
      <c r="N63" s="41" t="s">
        <v>696</v>
      </c>
      <c r="O63" s="41" t="s">
        <v>1202</v>
      </c>
      <c r="P63" s="41" t="s">
        <v>466</v>
      </c>
      <c r="Q63" s="41" t="s">
        <v>1203</v>
      </c>
      <c r="R63" s="42" t="s">
        <v>467</v>
      </c>
    </row>
    <row r="64" spans="1:18" ht="51.75" thickBot="1" x14ac:dyDescent="0.25">
      <c r="A64" t="s">
        <v>36</v>
      </c>
      <c r="B64" t="s">
        <v>699</v>
      </c>
      <c r="C64" t="s">
        <v>512</v>
      </c>
      <c r="D64" t="s">
        <v>513</v>
      </c>
      <c r="M64" s="41" t="s">
        <v>36</v>
      </c>
      <c r="N64" s="41" t="s">
        <v>699</v>
      </c>
      <c r="O64" s="41" t="s">
        <v>1197</v>
      </c>
      <c r="P64" s="41" t="s">
        <v>512</v>
      </c>
      <c r="Q64" s="41" t="s">
        <v>1232</v>
      </c>
      <c r="R64" s="42" t="s">
        <v>513</v>
      </c>
    </row>
    <row r="65" spans="1:18" ht="64.5" thickBot="1" x14ac:dyDescent="0.25">
      <c r="A65" t="s">
        <v>123</v>
      </c>
      <c r="B65" t="s">
        <v>837</v>
      </c>
      <c r="C65" t="s">
        <v>469</v>
      </c>
      <c r="D65" t="s">
        <v>470</v>
      </c>
      <c r="M65" s="41" t="s">
        <v>36</v>
      </c>
      <c r="N65" s="41" t="s">
        <v>837</v>
      </c>
      <c r="O65" s="41" t="s">
        <v>1202</v>
      </c>
      <c r="P65" s="41" t="s">
        <v>469</v>
      </c>
      <c r="Q65" s="41" t="s">
        <v>1203</v>
      </c>
      <c r="R65" s="42" t="s">
        <v>470</v>
      </c>
    </row>
    <row r="66" spans="1:18" ht="90" thickBot="1" x14ac:dyDescent="0.25">
      <c r="A66" t="s">
        <v>63</v>
      </c>
      <c r="B66" t="s">
        <v>838</v>
      </c>
      <c r="C66" t="s">
        <v>962</v>
      </c>
      <c r="D66" t="s">
        <v>929</v>
      </c>
      <c r="M66" s="41" t="s">
        <v>63</v>
      </c>
      <c r="N66" s="41" t="s">
        <v>838</v>
      </c>
      <c r="O66" s="41" t="s">
        <v>1140</v>
      </c>
      <c r="P66" s="41" t="s">
        <v>1250</v>
      </c>
      <c r="Q66" s="41" t="s">
        <v>1145</v>
      </c>
      <c r="R66" s="42" t="s">
        <v>929</v>
      </c>
    </row>
    <row r="67" spans="1:18" ht="64.5" thickBot="1" x14ac:dyDescent="0.25">
      <c r="A67" t="s">
        <v>63</v>
      </c>
      <c r="B67" t="s">
        <v>1085</v>
      </c>
      <c r="C67" t="s">
        <v>1086</v>
      </c>
      <c r="D67" t="s">
        <v>1087</v>
      </c>
      <c r="M67" s="41" t="s">
        <v>63</v>
      </c>
      <c r="N67" s="41" t="s">
        <v>1251</v>
      </c>
      <c r="O67" s="41" t="s">
        <v>1140</v>
      </c>
      <c r="P67" s="41" t="s">
        <v>1252</v>
      </c>
      <c r="Q67" s="41" t="s">
        <v>1145</v>
      </c>
      <c r="R67" s="42" t="s">
        <v>1253</v>
      </c>
    </row>
    <row r="68" spans="1:18" ht="90" thickBot="1" x14ac:dyDescent="0.25">
      <c r="A68" t="s">
        <v>63</v>
      </c>
      <c r="B68" t="s">
        <v>800</v>
      </c>
      <c r="C68" t="s">
        <v>930</v>
      </c>
      <c r="D68" t="s">
        <v>931</v>
      </c>
      <c r="M68" s="41" t="s">
        <v>63</v>
      </c>
      <c r="N68" s="41" t="s">
        <v>800</v>
      </c>
      <c r="O68" s="41" t="s">
        <v>1140</v>
      </c>
      <c r="P68" s="41" t="s">
        <v>930</v>
      </c>
      <c r="Q68" s="41" t="s">
        <v>1145</v>
      </c>
      <c r="R68" s="42" t="s">
        <v>931</v>
      </c>
    </row>
    <row r="69" spans="1:18" ht="90" thickBot="1" x14ac:dyDescent="0.25">
      <c r="A69" t="s">
        <v>63</v>
      </c>
      <c r="B69" t="s">
        <v>768</v>
      </c>
      <c r="C69" t="s">
        <v>932</v>
      </c>
      <c r="D69" t="s">
        <v>933</v>
      </c>
      <c r="M69" s="41" t="s">
        <v>63</v>
      </c>
      <c r="N69" s="41" t="s">
        <v>768</v>
      </c>
      <c r="O69" s="41" t="s">
        <v>1140</v>
      </c>
      <c r="P69" s="41" t="s">
        <v>932</v>
      </c>
      <c r="Q69" s="41" t="s">
        <v>1145</v>
      </c>
      <c r="R69" s="42" t="s">
        <v>933</v>
      </c>
    </row>
    <row r="70" spans="1:18" ht="92.25" thickBot="1" x14ac:dyDescent="0.4">
      <c r="A70" t="s">
        <v>16</v>
      </c>
      <c r="B70" t="s">
        <v>711</v>
      </c>
      <c r="C70" t="s">
        <v>934</v>
      </c>
      <c r="D70" t="s">
        <v>935</v>
      </c>
      <c r="M70" s="43" t="s">
        <v>1274</v>
      </c>
      <c r="N70" s="41" t="s">
        <v>711</v>
      </c>
      <c r="O70" s="41" t="s">
        <v>1255</v>
      </c>
      <c r="P70" s="41" t="s">
        <v>1256</v>
      </c>
      <c r="Q70" s="41" t="s">
        <v>1257</v>
      </c>
      <c r="R70" s="42" t="s">
        <v>935</v>
      </c>
    </row>
    <row r="71" spans="1:18" ht="90" thickBot="1" x14ac:dyDescent="0.25">
      <c r="A71" t="s">
        <v>25</v>
      </c>
      <c r="B71" t="s">
        <v>801</v>
      </c>
      <c r="C71" t="s">
        <v>936</v>
      </c>
      <c r="D71" t="s">
        <v>967</v>
      </c>
      <c r="M71" s="41" t="s">
        <v>1184</v>
      </c>
      <c r="N71" s="41" t="s">
        <v>801</v>
      </c>
      <c r="O71" s="41" t="s">
        <v>1186</v>
      </c>
      <c r="P71" s="41" t="s">
        <v>936</v>
      </c>
      <c r="Q71" s="41" t="s">
        <v>1188</v>
      </c>
      <c r="R71" s="42" t="s">
        <v>1258</v>
      </c>
    </row>
    <row r="72" spans="1:18" ht="90" thickBot="1" x14ac:dyDescent="0.25">
      <c r="A72" t="s">
        <v>25</v>
      </c>
      <c r="B72" t="s">
        <v>772</v>
      </c>
      <c r="C72" t="s">
        <v>937</v>
      </c>
      <c r="D72" t="s">
        <v>938</v>
      </c>
      <c r="M72" s="41" t="s">
        <v>1184</v>
      </c>
      <c r="N72" s="41" t="s">
        <v>772</v>
      </c>
      <c r="O72" s="41" t="s">
        <v>1186</v>
      </c>
      <c r="P72" s="41" t="s">
        <v>937</v>
      </c>
      <c r="Q72" s="41" t="s">
        <v>1188</v>
      </c>
      <c r="R72" s="42" t="s">
        <v>938</v>
      </c>
    </row>
    <row r="73" spans="1:18" ht="79.5" thickBot="1" x14ac:dyDescent="0.4">
      <c r="A73" t="s">
        <v>16</v>
      </c>
      <c r="B73" t="s">
        <v>774</v>
      </c>
      <c r="C73" t="s">
        <v>939</v>
      </c>
      <c r="D73" t="s">
        <v>940</v>
      </c>
      <c r="M73" s="43" t="s">
        <v>1273</v>
      </c>
      <c r="N73" s="41" t="s">
        <v>774</v>
      </c>
      <c r="O73" s="41" t="s">
        <v>1255</v>
      </c>
      <c r="P73" s="41" t="s">
        <v>939</v>
      </c>
      <c r="Q73" s="41" t="s">
        <v>1257</v>
      </c>
      <c r="R73" s="42" t="s">
        <v>940</v>
      </c>
    </row>
    <row r="74" spans="1:18" ht="90" thickBot="1" x14ac:dyDescent="0.25">
      <c r="A74" t="s">
        <v>64</v>
      </c>
      <c r="B74" t="s">
        <v>1081</v>
      </c>
      <c r="C74" t="s">
        <v>1082</v>
      </c>
      <c r="D74" t="s">
        <v>1083</v>
      </c>
      <c r="M74" s="41" t="s">
        <v>63</v>
      </c>
      <c r="N74" s="41" t="s">
        <v>1259</v>
      </c>
      <c r="O74" s="41" t="s">
        <v>1140</v>
      </c>
      <c r="P74" s="41" t="s">
        <v>1260</v>
      </c>
      <c r="Q74" s="41" t="s">
        <v>1145</v>
      </c>
      <c r="R74" s="42" t="s">
        <v>1261</v>
      </c>
    </row>
    <row r="75" spans="1:18" ht="77.25" thickBot="1" x14ac:dyDescent="0.25">
      <c r="A75" t="s">
        <v>47</v>
      </c>
      <c r="B75" t="s">
        <v>776</v>
      </c>
      <c r="C75" t="s">
        <v>941</v>
      </c>
      <c r="D75" t="s">
        <v>942</v>
      </c>
      <c r="M75" s="41" t="s">
        <v>663</v>
      </c>
      <c r="N75" s="41" t="s">
        <v>776</v>
      </c>
      <c r="O75" s="41" t="s">
        <v>1235</v>
      </c>
      <c r="P75" s="41" t="s">
        <v>941</v>
      </c>
      <c r="Q75" s="41" t="s">
        <v>1236</v>
      </c>
      <c r="R75" s="42" t="s">
        <v>942</v>
      </c>
    </row>
    <row r="76" spans="1:18" ht="92.25" thickBot="1" x14ac:dyDescent="0.4">
      <c r="A76" t="s">
        <v>104</v>
      </c>
      <c r="B76" t="s">
        <v>802</v>
      </c>
      <c r="C76" t="s">
        <v>943</v>
      </c>
      <c r="D76" t="s">
        <v>944</v>
      </c>
      <c r="M76" s="43" t="s">
        <v>1272</v>
      </c>
      <c r="N76" s="41" t="s">
        <v>802</v>
      </c>
      <c r="O76" s="41" t="s">
        <v>1219</v>
      </c>
      <c r="P76" s="41" t="s">
        <v>943</v>
      </c>
      <c r="Q76" s="41" t="s">
        <v>1220</v>
      </c>
      <c r="R76" s="42" t="s">
        <v>944</v>
      </c>
    </row>
    <row r="77" spans="1:18" ht="77.25" thickBot="1" x14ac:dyDescent="0.25">
      <c r="A77" t="s">
        <v>47</v>
      </c>
      <c r="B77" t="s">
        <v>778</v>
      </c>
      <c r="C77" t="s">
        <v>945</v>
      </c>
      <c r="D77" t="s">
        <v>946</v>
      </c>
      <c r="M77" s="41" t="s">
        <v>663</v>
      </c>
      <c r="N77" s="41" t="s">
        <v>778</v>
      </c>
      <c r="O77" s="41" t="s">
        <v>1235</v>
      </c>
      <c r="P77" s="41" t="s">
        <v>945</v>
      </c>
      <c r="Q77" s="41" t="s">
        <v>1236</v>
      </c>
      <c r="R77" s="42" t="s">
        <v>946</v>
      </c>
    </row>
    <row r="78" spans="1:18" ht="66.75" thickBot="1" x14ac:dyDescent="0.4">
      <c r="A78" t="s">
        <v>149</v>
      </c>
      <c r="B78" t="s">
        <v>839</v>
      </c>
      <c r="C78" t="s">
        <v>310</v>
      </c>
      <c r="D78" t="s">
        <v>968</v>
      </c>
      <c r="M78" s="43" t="s">
        <v>92</v>
      </c>
      <c r="N78" s="41" t="s">
        <v>839</v>
      </c>
      <c r="O78" s="41" t="s">
        <v>1263</v>
      </c>
      <c r="P78" s="41" t="s">
        <v>310</v>
      </c>
      <c r="Q78" s="41" t="s">
        <v>1264</v>
      </c>
      <c r="R78" s="42" t="s">
        <v>1265</v>
      </c>
    </row>
    <row r="79" spans="1:18" ht="54" thickBot="1" x14ac:dyDescent="0.4">
      <c r="A79" t="s">
        <v>178</v>
      </c>
      <c r="B79" t="s">
        <v>780</v>
      </c>
      <c r="C79" t="s">
        <v>424</v>
      </c>
      <c r="D79" t="s">
        <v>540</v>
      </c>
      <c r="M79" s="43" t="s">
        <v>92</v>
      </c>
      <c r="N79" s="41" t="s">
        <v>780</v>
      </c>
      <c r="O79" s="41" t="s">
        <v>1219</v>
      </c>
      <c r="P79" s="41" t="s">
        <v>424</v>
      </c>
      <c r="Q79" s="41" t="s">
        <v>1203</v>
      </c>
      <c r="R79" s="42" t="s">
        <v>540</v>
      </c>
    </row>
    <row r="80" spans="1:18" ht="54" thickBot="1" x14ac:dyDescent="0.4">
      <c r="A80" t="s">
        <v>74</v>
      </c>
      <c r="B80" t="s">
        <v>725</v>
      </c>
      <c r="C80" t="s">
        <v>963</v>
      </c>
      <c r="D80" t="s">
        <v>543</v>
      </c>
      <c r="M80" s="43" t="s">
        <v>73</v>
      </c>
      <c r="N80" s="41" t="s">
        <v>725</v>
      </c>
      <c r="O80" s="41" t="s">
        <v>1268</v>
      </c>
      <c r="P80" s="41" t="s">
        <v>1269</v>
      </c>
      <c r="Q80" s="41" t="s">
        <v>1270</v>
      </c>
      <c r="R80" s="42" t="s">
        <v>543</v>
      </c>
    </row>
    <row r="81" spans="1:18" ht="90" thickBot="1" x14ac:dyDescent="0.25">
      <c r="A81" t="s">
        <v>63</v>
      </c>
      <c r="B81" t="s">
        <v>803</v>
      </c>
      <c r="C81" t="s">
        <v>947</v>
      </c>
      <c r="D81" t="s">
        <v>948</v>
      </c>
      <c r="M81" s="41" t="s">
        <v>63</v>
      </c>
      <c r="N81" s="41" t="s">
        <v>803</v>
      </c>
      <c r="O81" s="41" t="s">
        <v>1140</v>
      </c>
      <c r="P81" s="41" t="s">
        <v>947</v>
      </c>
      <c r="Q81" s="41" t="s">
        <v>1145</v>
      </c>
      <c r="R81" s="42" t="s">
        <v>948</v>
      </c>
    </row>
    <row r="82" spans="1:18" ht="79.5" thickBot="1" x14ac:dyDescent="0.4">
      <c r="A82" t="s">
        <v>16</v>
      </c>
      <c r="B82" t="s">
        <v>804</v>
      </c>
      <c r="C82" t="s">
        <v>949</v>
      </c>
      <c r="D82" t="s">
        <v>950</v>
      </c>
      <c r="M82" s="43" t="s">
        <v>73</v>
      </c>
      <c r="N82" s="41" t="s">
        <v>804</v>
      </c>
      <c r="O82" s="41" t="s">
        <v>1255</v>
      </c>
      <c r="P82" s="41" t="s">
        <v>949</v>
      </c>
      <c r="Q82" s="41" t="s">
        <v>1257</v>
      </c>
      <c r="R82" s="42" t="s">
        <v>950</v>
      </c>
    </row>
    <row r="83" spans="1:18" ht="92.25" thickBot="1" x14ac:dyDescent="0.4">
      <c r="A83" t="s">
        <v>178</v>
      </c>
      <c r="B83" t="s">
        <v>729</v>
      </c>
      <c r="C83" t="s">
        <v>951</v>
      </c>
      <c r="D83" t="s">
        <v>952</v>
      </c>
      <c r="M83" s="43" t="s">
        <v>73</v>
      </c>
      <c r="N83" s="41" t="s">
        <v>729</v>
      </c>
      <c r="O83" s="41" t="s">
        <v>1219</v>
      </c>
      <c r="P83" s="41" t="s">
        <v>951</v>
      </c>
      <c r="Q83" s="41" t="s">
        <v>1203</v>
      </c>
      <c r="R83" s="42" t="s">
        <v>952</v>
      </c>
    </row>
    <row r="85" spans="1:18" ht="17.25" thickBot="1" x14ac:dyDescent="0.35"/>
    <row r="86" spans="1:18" ht="17.25" thickBot="1" x14ac:dyDescent="0.25">
      <c r="A86" t="s">
        <v>20</v>
      </c>
      <c r="C86" s="41" t="s">
        <v>1181</v>
      </c>
      <c r="D86" t="s">
        <v>1181</v>
      </c>
    </row>
    <row r="87" spans="1:18" ht="17.25" thickBot="1" x14ac:dyDescent="0.25">
      <c r="A87" t="s">
        <v>25</v>
      </c>
      <c r="C87" s="41" t="s">
        <v>1184</v>
      </c>
      <c r="D87" t="s">
        <v>36</v>
      </c>
    </row>
    <row r="88" spans="1:18" ht="17.25" thickBot="1" x14ac:dyDescent="0.25">
      <c r="A88" t="s">
        <v>63</v>
      </c>
      <c r="C88" s="41" t="s">
        <v>1190</v>
      </c>
      <c r="D88" t="s">
        <v>63</v>
      </c>
    </row>
    <row r="89" spans="1:18" ht="17.25" thickBot="1" x14ac:dyDescent="0.25">
      <c r="A89" t="s">
        <v>111</v>
      </c>
      <c r="C89" s="41" t="s">
        <v>1193</v>
      </c>
      <c r="D89" t="s">
        <v>111</v>
      </c>
    </row>
    <row r="90" spans="1:18" ht="17.25" thickBot="1" x14ac:dyDescent="0.25">
      <c r="A90" t="s">
        <v>36</v>
      </c>
      <c r="C90" s="41" t="s">
        <v>1196</v>
      </c>
      <c r="D90" t="s">
        <v>1207</v>
      </c>
    </row>
    <row r="91" spans="1:18" ht="17.25" thickBot="1" x14ac:dyDescent="0.25">
      <c r="A91" t="s">
        <v>123</v>
      </c>
      <c r="C91" s="41" t="s">
        <v>1200</v>
      </c>
      <c r="D91" t="s">
        <v>1184</v>
      </c>
    </row>
    <row r="92" spans="1:18" ht="17.25" thickBot="1" x14ac:dyDescent="0.25">
      <c r="A92" t="s">
        <v>81</v>
      </c>
      <c r="C92" s="41" t="s">
        <v>1207</v>
      </c>
      <c r="D92" t="s">
        <v>1271</v>
      </c>
    </row>
    <row r="93" spans="1:18" ht="17.25" thickBot="1" x14ac:dyDescent="0.25">
      <c r="A93" t="s">
        <v>104</v>
      </c>
      <c r="C93" s="41" t="s">
        <v>1218</v>
      </c>
      <c r="D93" t="s">
        <v>91</v>
      </c>
    </row>
    <row r="94" spans="1:18" ht="17.25" thickBot="1" x14ac:dyDescent="0.25">
      <c r="A94" t="s">
        <v>91</v>
      </c>
      <c r="C94" s="41" t="s">
        <v>1222</v>
      </c>
      <c r="D94" t="s">
        <v>663</v>
      </c>
    </row>
    <row r="95" spans="1:18" ht="17.25" thickBot="1" x14ac:dyDescent="0.25">
      <c r="A95" t="s">
        <v>47</v>
      </c>
      <c r="C95" s="41" t="s">
        <v>663</v>
      </c>
      <c r="D95" t="s">
        <v>1239</v>
      </c>
    </row>
    <row r="96" spans="1:18" ht="17.25" thickBot="1" x14ac:dyDescent="0.25">
      <c r="A96" t="s">
        <v>1132</v>
      </c>
      <c r="C96" s="41" t="s">
        <v>1239</v>
      </c>
      <c r="D96" t="s">
        <v>11</v>
      </c>
    </row>
    <row r="97" spans="1:4" ht="17.25" thickBot="1" x14ac:dyDescent="0.25">
      <c r="A97" t="s">
        <v>130</v>
      </c>
      <c r="C97" s="41" t="s">
        <v>1242</v>
      </c>
      <c r="D97" t="s">
        <v>1254</v>
      </c>
    </row>
    <row r="98" spans="1:4" ht="17.25" thickBot="1" x14ac:dyDescent="0.25">
      <c r="A98" t="s">
        <v>11</v>
      </c>
      <c r="C98" s="41" t="s">
        <v>1247</v>
      </c>
      <c r="D98" t="s">
        <v>72</v>
      </c>
    </row>
    <row r="99" spans="1:4" ht="17.25" thickBot="1" x14ac:dyDescent="0.25">
      <c r="A99" t="s">
        <v>16</v>
      </c>
      <c r="C99" s="41" t="s">
        <v>1254</v>
      </c>
    </row>
    <row r="100" spans="1:4" ht="17.25" thickBot="1" x14ac:dyDescent="0.25">
      <c r="A100" t="s">
        <v>149</v>
      </c>
      <c r="C100" s="41" t="s">
        <v>1262</v>
      </c>
    </row>
    <row r="101" spans="1:4" ht="17.25" thickBot="1" x14ac:dyDescent="0.25">
      <c r="A101" t="s">
        <v>178</v>
      </c>
      <c r="C101" s="41" t="s">
        <v>1266</v>
      </c>
    </row>
    <row r="102" spans="1:4" ht="17.25" thickBot="1" x14ac:dyDescent="0.25">
      <c r="A102" t="s">
        <v>74</v>
      </c>
      <c r="C102" s="41" t="s">
        <v>1267</v>
      </c>
    </row>
  </sheetData>
  <autoFilter ref="A1:R83" xr:uid="{67BBA7A2-250E-4EEE-BCD2-374CF3557442}"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D621-AE31-4EF2-BB31-1731D7DB20FD}">
  <dimension ref="A2:D26"/>
  <sheetViews>
    <sheetView topLeftCell="A3" workbookViewId="0">
      <selection activeCell="B26" sqref="B26"/>
    </sheetView>
  </sheetViews>
  <sheetFormatPr defaultRowHeight="16.5" x14ac:dyDescent="0.3"/>
  <cols>
    <col min="2" max="4" width="23.25" customWidth="1"/>
  </cols>
  <sheetData>
    <row r="2" spans="1:4" x14ac:dyDescent="0.3">
      <c r="A2" t="s">
        <v>1</v>
      </c>
      <c r="B2" t="s">
        <v>569</v>
      </c>
      <c r="C2" t="s">
        <v>38</v>
      </c>
      <c r="D2" t="s">
        <v>570</v>
      </c>
    </row>
    <row r="3" spans="1:4" x14ac:dyDescent="0.3">
      <c r="A3" t="s">
        <v>1124</v>
      </c>
      <c r="B3" t="s">
        <v>1118</v>
      </c>
      <c r="C3" t="s">
        <v>1120</v>
      </c>
      <c r="D3" t="s">
        <v>1122</v>
      </c>
    </row>
    <row r="4" spans="1:4" x14ac:dyDescent="0.3">
      <c r="A4" t="s">
        <v>1109</v>
      </c>
      <c r="B4" t="s">
        <v>1017</v>
      </c>
      <c r="C4" t="s">
        <v>1015</v>
      </c>
      <c r="D4" t="s">
        <v>1113</v>
      </c>
    </row>
    <row r="5" spans="1:4" x14ac:dyDescent="0.3">
      <c r="A5" t="s">
        <v>1110</v>
      </c>
      <c r="B5" t="s">
        <v>1111</v>
      </c>
      <c r="C5" t="s">
        <v>1112</v>
      </c>
      <c r="D5" t="s">
        <v>1114</v>
      </c>
    </row>
    <row r="6" spans="1:4" x14ac:dyDescent="0.3">
      <c r="A6" t="s">
        <v>1116</v>
      </c>
      <c r="B6" t="s">
        <v>1130</v>
      </c>
      <c r="C6" t="s">
        <v>1139</v>
      </c>
      <c r="D6" t="s">
        <v>1126</v>
      </c>
    </row>
    <row r="7" spans="1:4" x14ac:dyDescent="0.3">
      <c r="A7" t="s">
        <v>1128</v>
      </c>
      <c r="B7" t="s">
        <v>1131</v>
      </c>
      <c r="C7" t="s">
        <v>1150</v>
      </c>
      <c r="D7" t="s">
        <v>1152</v>
      </c>
    </row>
    <row r="8" spans="1:4" x14ac:dyDescent="0.3">
      <c r="A8" t="s">
        <v>1151</v>
      </c>
      <c r="B8" t="s">
        <v>1134</v>
      </c>
      <c r="C8" t="s">
        <v>1137</v>
      </c>
      <c r="D8" t="s">
        <v>1146</v>
      </c>
    </row>
    <row r="9" spans="1:4" x14ac:dyDescent="0.3">
      <c r="B9" t="s">
        <v>1136</v>
      </c>
      <c r="C9" t="s">
        <v>1142</v>
      </c>
      <c r="D9" t="s">
        <v>1147</v>
      </c>
    </row>
    <row r="10" spans="1:4" x14ac:dyDescent="0.3">
      <c r="B10" t="s">
        <v>1144</v>
      </c>
      <c r="C10" t="s">
        <v>1141</v>
      </c>
      <c r="D10" t="s">
        <v>1149</v>
      </c>
    </row>
    <row r="11" spans="1:4" x14ac:dyDescent="0.3">
      <c r="B11" t="s">
        <v>1133</v>
      </c>
      <c r="C11" t="s">
        <v>1143</v>
      </c>
      <c r="D11" t="s">
        <v>1148</v>
      </c>
    </row>
    <row r="17" spans="1:4" ht="17.25" thickBot="1" x14ac:dyDescent="0.35"/>
    <row r="18" spans="1:4" ht="17.25" thickBot="1" x14ac:dyDescent="0.35">
      <c r="A18" s="4" t="s">
        <v>0</v>
      </c>
      <c r="B18" s="4" t="s">
        <v>1106</v>
      </c>
      <c r="C18" s="4" t="s">
        <v>1107</v>
      </c>
      <c r="D18" s="4" t="s">
        <v>1108</v>
      </c>
    </row>
    <row r="19" spans="1:4" ht="17.25" thickBot="1" x14ac:dyDescent="0.35">
      <c r="A19" s="4" t="s">
        <v>1123</v>
      </c>
      <c r="B19" s="5" t="s">
        <v>1117</v>
      </c>
      <c r="C19" s="5" t="s">
        <v>1119</v>
      </c>
      <c r="D19" s="5" t="s">
        <v>1121</v>
      </c>
    </row>
    <row r="20" spans="1:4" ht="30.75" thickBot="1" x14ac:dyDescent="0.35">
      <c r="A20" s="4" t="s">
        <v>1153</v>
      </c>
      <c r="B20" s="5" t="s">
        <v>1154</v>
      </c>
      <c r="C20" s="5" t="s">
        <v>1155</v>
      </c>
      <c r="D20" s="5" t="s">
        <v>1156</v>
      </c>
    </row>
    <row r="21" spans="1:4" ht="29.25" thickBot="1" x14ac:dyDescent="0.35">
      <c r="A21" s="4" t="s">
        <v>1115</v>
      </c>
      <c r="B21" s="5" t="s">
        <v>1129</v>
      </c>
      <c r="C21" s="5" t="s">
        <v>1138</v>
      </c>
      <c r="D21" s="5" t="s">
        <v>1125</v>
      </c>
    </row>
    <row r="22" spans="1:4" ht="108.75" thickBot="1" x14ac:dyDescent="0.35">
      <c r="A22" s="4" t="s">
        <v>1127</v>
      </c>
      <c r="B22" s="40" t="s">
        <v>1173</v>
      </c>
      <c r="C22" s="5" t="s">
        <v>1174</v>
      </c>
      <c r="D22" s="5" t="s">
        <v>1157</v>
      </c>
    </row>
    <row r="23" spans="1:4" ht="17.25" thickBot="1" x14ac:dyDescent="0.35">
      <c r="A23" s="4" t="s">
        <v>1158</v>
      </c>
      <c r="B23" s="5" t="s">
        <v>1159</v>
      </c>
      <c r="C23" s="5" t="s">
        <v>1160</v>
      </c>
      <c r="D23" s="5" t="s">
        <v>1161</v>
      </c>
    </row>
    <row r="24" spans="1:4" ht="17.25" thickBot="1" x14ac:dyDescent="0.35">
      <c r="A24" s="4" t="s">
        <v>1162</v>
      </c>
      <c r="B24" s="5" t="s">
        <v>1135</v>
      </c>
      <c r="C24" s="5" t="s">
        <v>1163</v>
      </c>
      <c r="D24" s="5" t="s">
        <v>1164</v>
      </c>
    </row>
    <row r="25" spans="1:4" ht="17.25" thickBot="1" x14ac:dyDescent="0.35">
      <c r="A25" s="4" t="s">
        <v>1165</v>
      </c>
      <c r="B25" s="5" t="s">
        <v>1166</v>
      </c>
      <c r="C25" s="5" t="s">
        <v>1167</v>
      </c>
      <c r="D25" s="5" t="s">
        <v>1168</v>
      </c>
    </row>
    <row r="26" spans="1:4" ht="17.25" thickBot="1" x14ac:dyDescent="0.35">
      <c r="A26" s="4" t="s">
        <v>1169</v>
      </c>
      <c r="B26" s="5" t="s">
        <v>1170</v>
      </c>
      <c r="C26" s="5" t="s">
        <v>1171</v>
      </c>
      <c r="D26" s="5" t="s">
        <v>1172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개념</vt:lpstr>
      <vt:lpstr>지출차이</vt:lpstr>
      <vt:lpstr>자산차이</vt:lpstr>
      <vt:lpstr>매핑초안</vt:lpstr>
      <vt:lpstr>매핑v2</vt:lpstr>
      <vt:lpstr>비용분석</vt:lpstr>
      <vt:lpstr>webtoon</vt:lpstr>
      <vt:lpstr>비용분석2</vt:lpstr>
      <vt:lpstr>Sheet2</vt:lpstr>
      <vt:lpstr>Persona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Kyungho Suh</dc:creator>
  <cp:lastModifiedBy>Kyungho Suh</cp:lastModifiedBy>
  <dcterms:created xsi:type="dcterms:W3CDTF">2026-06-24T00:53:26Z</dcterms:created>
  <dcterms:modified xsi:type="dcterms:W3CDTF">2026-06-27T08:31:48Z</dcterms:modified>
</cp:coreProperties>
</file>